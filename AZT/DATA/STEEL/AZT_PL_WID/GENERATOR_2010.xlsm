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30" yWindow="6825" windowWidth="28650" windowHeight="6120" tabRatio="865"/>
  </bookViews>
  <sheets>
    <sheet name="BISYMETRYCZNY" sheetId="1" r:id="rId1"/>
    <sheet name="MONOSYMETRYCZNY" sheetId="2" r:id="rId2"/>
    <sheet name="RURA" sheetId="3" r:id="rId3"/>
    <sheet name="KATOWNIK" sheetId="4" r:id="rId4"/>
    <sheet name="BAZA_BISYMETRYCZNY" sheetId="5" r:id="rId5"/>
    <sheet name="BAZA_MONOSYMETRYCZNY" sheetId="6" r:id="rId6"/>
    <sheet name="BAZA_RUR" sheetId="7" r:id="rId7"/>
    <sheet name="BAZA_KATOWNIKOW" sheetId="8" r:id="rId8"/>
  </sheets>
  <calcPr calcId="145621"/>
</workbook>
</file>

<file path=xl/calcChain.xml><?xml version="1.0" encoding="utf-8"?>
<calcChain xmlns="http://schemas.openxmlformats.org/spreadsheetml/2006/main">
  <c r="J3" i="4" l="1"/>
  <c r="I3" i="4"/>
  <c r="H3" i="4"/>
  <c r="G3" i="4"/>
  <c r="F3" i="4"/>
  <c r="E3" i="4"/>
  <c r="D3" i="4"/>
  <c r="C3" i="4"/>
  <c r="A119" i="4"/>
  <c r="A113" i="4"/>
  <c r="A107" i="4"/>
  <c r="A101" i="4"/>
  <c r="A87" i="4"/>
  <c r="A79" i="4"/>
  <c r="A73" i="4"/>
  <c r="A67" i="4"/>
  <c r="A61" i="4"/>
  <c r="A47" i="4"/>
  <c r="A39" i="4"/>
  <c r="A21" i="4"/>
  <c r="A33" i="4" s="1"/>
  <c r="A7" i="4"/>
  <c r="A4" i="4"/>
  <c r="H3" i="3"/>
  <c r="G3" i="3"/>
  <c r="F3" i="3"/>
  <c r="E3" i="3"/>
  <c r="D3" i="3"/>
  <c r="C3" i="3"/>
  <c r="A137" i="3"/>
  <c r="A131" i="3"/>
  <c r="A113" i="3"/>
  <c r="A119" i="3" s="1"/>
  <c r="A99" i="3"/>
  <c r="A91" i="3"/>
  <c r="A85" i="3"/>
  <c r="A67" i="3"/>
  <c r="A73" i="3" s="1"/>
  <c r="A53" i="3"/>
  <c r="A45" i="3"/>
  <c r="A39" i="3"/>
  <c r="A21" i="3"/>
  <c r="A27" i="3" s="1"/>
  <c r="A7" i="3"/>
  <c r="A4" i="3"/>
  <c r="I3" i="2"/>
  <c r="H3" i="2"/>
  <c r="G3" i="2"/>
  <c r="F3" i="2"/>
  <c r="E3" i="2"/>
  <c r="D3" i="2"/>
  <c r="C3" i="2"/>
  <c r="A131" i="2"/>
  <c r="A125" i="2"/>
  <c r="A107" i="2"/>
  <c r="A113" i="2" s="1"/>
  <c r="A93" i="2"/>
  <c r="A85" i="2"/>
  <c r="A79" i="2"/>
  <c r="A61" i="2"/>
  <c r="A67" i="2" s="1"/>
  <c r="A47" i="2"/>
  <c r="A39" i="2"/>
  <c r="A21" i="2"/>
  <c r="A33" i="2" s="1"/>
  <c r="A7" i="2"/>
  <c r="A4" i="2"/>
  <c r="A4" i="1"/>
  <c r="H3" i="1"/>
  <c r="G3" i="1"/>
  <c r="F3" i="1"/>
  <c r="E3" i="1"/>
  <c r="D3" i="1"/>
  <c r="C3" i="1"/>
  <c r="A137" i="1"/>
  <c r="A131" i="1"/>
  <c r="A113" i="1"/>
  <c r="A119" i="1" s="1"/>
  <c r="A99" i="1"/>
  <c r="A91" i="1"/>
  <c r="A85" i="1"/>
  <c r="A67" i="1"/>
  <c r="A73" i="1" s="1"/>
  <c r="A53" i="1"/>
  <c r="A45" i="1"/>
  <c r="A39" i="1"/>
  <c r="A27" i="1"/>
  <c r="A21" i="1"/>
  <c r="A7" i="1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P103" i="8"/>
  <c r="J103" i="8"/>
  <c r="A103" i="8"/>
  <c r="P102" i="8"/>
  <c r="J102" i="8"/>
  <c r="A102" i="8"/>
  <c r="P101" i="8"/>
  <c r="J101" i="8"/>
  <c r="A101" i="8"/>
  <c r="P100" i="8"/>
  <c r="J100" i="8"/>
  <c r="A100" i="8"/>
  <c r="P99" i="8"/>
  <c r="J99" i="8"/>
  <c r="A99" i="8"/>
  <c r="P98" i="8"/>
  <c r="J98" i="8"/>
  <c r="A98" i="8"/>
  <c r="P97" i="8"/>
  <c r="J97" i="8"/>
  <c r="A97" i="8"/>
  <c r="P96" i="8"/>
  <c r="J96" i="8"/>
  <c r="A96" i="8"/>
  <c r="P95" i="8"/>
  <c r="J95" i="8"/>
  <c r="A95" i="8"/>
  <c r="P94" i="8"/>
  <c r="J94" i="8"/>
  <c r="A94" i="8"/>
  <c r="P93" i="8"/>
  <c r="J93" i="8"/>
  <c r="A93" i="8"/>
  <c r="P92" i="8"/>
  <c r="J92" i="8"/>
  <c r="A92" i="8"/>
  <c r="P91" i="8"/>
  <c r="J91" i="8"/>
  <c r="A91" i="8"/>
  <c r="P90" i="8"/>
  <c r="J90" i="8"/>
  <c r="A90" i="8"/>
  <c r="P89" i="8"/>
  <c r="J89" i="8"/>
  <c r="A89" i="8"/>
  <c r="P88" i="8"/>
  <c r="J88" i="8"/>
  <c r="A88" i="8"/>
  <c r="P87" i="8"/>
  <c r="J87" i="8"/>
  <c r="A87" i="8"/>
  <c r="P86" i="8"/>
  <c r="J86" i="8"/>
  <c r="A86" i="8"/>
  <c r="P85" i="8"/>
  <c r="J85" i="8"/>
  <c r="A85" i="8"/>
  <c r="P84" i="8"/>
  <c r="J84" i="8"/>
  <c r="A84" i="8"/>
  <c r="P83" i="8"/>
  <c r="J83" i="8"/>
  <c r="A83" i="8"/>
  <c r="P82" i="8"/>
  <c r="J82" i="8"/>
  <c r="A82" i="8"/>
  <c r="P81" i="8"/>
  <c r="J81" i="8"/>
  <c r="A81" i="8"/>
  <c r="P80" i="8"/>
  <c r="J80" i="8"/>
  <c r="A80" i="8"/>
  <c r="P79" i="8"/>
  <c r="J79" i="8"/>
  <c r="A79" i="8"/>
  <c r="P78" i="8"/>
  <c r="J78" i="8"/>
  <c r="A78" i="8"/>
  <c r="P77" i="8"/>
  <c r="J77" i="8"/>
  <c r="A77" i="8"/>
  <c r="P76" i="8"/>
  <c r="J76" i="8"/>
  <c r="A76" i="8"/>
  <c r="P75" i="8"/>
  <c r="J75" i="8"/>
  <c r="A75" i="8"/>
  <c r="P74" i="8"/>
  <c r="J74" i="8"/>
  <c r="A74" i="8"/>
  <c r="P73" i="8"/>
  <c r="J73" i="8"/>
  <c r="A73" i="8"/>
  <c r="P72" i="8"/>
  <c r="J72" i="8"/>
  <c r="A72" i="8"/>
  <c r="P71" i="8"/>
  <c r="J71" i="8"/>
  <c r="A71" i="8"/>
  <c r="P70" i="8"/>
  <c r="J70" i="8"/>
  <c r="A70" i="8"/>
  <c r="P69" i="8"/>
  <c r="J69" i="8"/>
  <c r="A69" i="8"/>
  <c r="P68" i="8"/>
  <c r="J68" i="8"/>
  <c r="A68" i="8"/>
  <c r="P67" i="8"/>
  <c r="J67" i="8"/>
  <c r="A67" i="8"/>
  <c r="P66" i="8"/>
  <c r="J66" i="8"/>
  <c r="A66" i="8"/>
  <c r="P65" i="8"/>
  <c r="J65" i="8"/>
  <c r="A65" i="8"/>
  <c r="P64" i="8"/>
  <c r="J64" i="8"/>
  <c r="A64" i="8"/>
  <c r="P63" i="8"/>
  <c r="J63" i="8"/>
  <c r="A63" i="8"/>
  <c r="P62" i="8"/>
  <c r="J62" i="8"/>
  <c r="A62" i="8"/>
  <c r="P61" i="8"/>
  <c r="J61" i="8"/>
  <c r="A61" i="8"/>
  <c r="P60" i="8"/>
  <c r="J60" i="8"/>
  <c r="A60" i="8"/>
  <c r="P59" i="8"/>
  <c r="J59" i="8"/>
  <c r="A59" i="8"/>
  <c r="P58" i="8"/>
  <c r="J58" i="8"/>
  <c r="A58" i="8"/>
  <c r="P57" i="8"/>
  <c r="J57" i="8"/>
  <c r="A57" i="8"/>
  <c r="P56" i="8"/>
  <c r="J56" i="8"/>
  <c r="A56" i="8"/>
  <c r="P55" i="8"/>
  <c r="J55" i="8"/>
  <c r="A55" i="8"/>
  <c r="P54" i="8"/>
  <c r="J54" i="8"/>
  <c r="A54" i="8"/>
  <c r="P53" i="8"/>
  <c r="J53" i="8"/>
  <c r="A53" i="8"/>
  <c r="P52" i="8"/>
  <c r="J52" i="8"/>
  <c r="A52" i="8"/>
  <c r="P51" i="8"/>
  <c r="J51" i="8"/>
  <c r="A51" i="8"/>
  <c r="P50" i="8"/>
  <c r="J50" i="8"/>
  <c r="A50" i="8"/>
  <c r="P49" i="8"/>
  <c r="J49" i="8"/>
  <c r="A49" i="8"/>
  <c r="P48" i="8"/>
  <c r="J48" i="8"/>
  <c r="A48" i="8"/>
  <c r="P47" i="8"/>
  <c r="J47" i="8"/>
  <c r="A47" i="8"/>
  <c r="P46" i="8"/>
  <c r="J46" i="8"/>
  <c r="A46" i="8"/>
  <c r="P45" i="8"/>
  <c r="J45" i="8"/>
  <c r="A45" i="8"/>
  <c r="P44" i="8"/>
  <c r="J44" i="8"/>
  <c r="A44" i="8"/>
  <c r="P43" i="8"/>
  <c r="J43" i="8"/>
  <c r="A43" i="8"/>
  <c r="P42" i="8"/>
  <c r="J42" i="8"/>
  <c r="A42" i="8"/>
  <c r="P41" i="8"/>
  <c r="J41" i="8"/>
  <c r="A41" i="8"/>
  <c r="P40" i="8"/>
  <c r="J40" i="8"/>
  <c r="A40" i="8"/>
  <c r="P39" i="8"/>
  <c r="J39" i="8"/>
  <c r="A39" i="8"/>
  <c r="P38" i="8"/>
  <c r="J38" i="8"/>
  <c r="A38" i="8"/>
  <c r="P37" i="8"/>
  <c r="J37" i="8"/>
  <c r="A37" i="8"/>
  <c r="P36" i="8"/>
  <c r="J36" i="8"/>
  <c r="A36" i="8"/>
  <c r="P35" i="8"/>
  <c r="J35" i="8"/>
  <c r="A35" i="8"/>
  <c r="P34" i="8"/>
  <c r="J34" i="8"/>
  <c r="A34" i="8"/>
  <c r="P33" i="8"/>
  <c r="J33" i="8"/>
  <c r="A33" i="8"/>
  <c r="P32" i="8"/>
  <c r="J32" i="8"/>
  <c r="A32" i="8"/>
  <c r="P31" i="8"/>
  <c r="J31" i="8"/>
  <c r="A31" i="8"/>
  <c r="P30" i="8"/>
  <c r="J30" i="8"/>
  <c r="A30" i="8"/>
  <c r="P29" i="8"/>
  <c r="J29" i="8"/>
  <c r="A29" i="8"/>
  <c r="P28" i="8"/>
  <c r="J28" i="8"/>
  <c r="A28" i="8"/>
  <c r="P27" i="8"/>
  <c r="J27" i="8"/>
  <c r="A27" i="8"/>
  <c r="P26" i="8"/>
  <c r="J26" i="8"/>
  <c r="A26" i="8"/>
  <c r="P25" i="8"/>
  <c r="J25" i="8"/>
  <c r="A25" i="8"/>
  <c r="P24" i="8"/>
  <c r="J24" i="8"/>
  <c r="A24" i="8"/>
  <c r="P23" i="8"/>
  <c r="J23" i="8"/>
  <c r="A23" i="8"/>
  <c r="P22" i="8"/>
  <c r="J22" i="8"/>
  <c r="A22" i="8"/>
  <c r="P21" i="8"/>
  <c r="J21" i="8"/>
  <c r="A21" i="8"/>
  <c r="P20" i="8"/>
  <c r="J20" i="8"/>
  <c r="A20" i="8"/>
  <c r="P19" i="8"/>
  <c r="J19" i="8"/>
  <c r="A19" i="8"/>
  <c r="P18" i="8"/>
  <c r="J18" i="8"/>
  <c r="A18" i="8"/>
  <c r="P17" i="8"/>
  <c r="J17" i="8"/>
  <c r="A17" i="8"/>
  <c r="P16" i="8"/>
  <c r="J16" i="8"/>
  <c r="A16" i="8"/>
  <c r="P15" i="8"/>
  <c r="J15" i="8"/>
  <c r="A15" i="8"/>
  <c r="P14" i="8"/>
  <c r="J14" i="8"/>
  <c r="A14" i="8"/>
  <c r="P13" i="8"/>
  <c r="J13" i="8"/>
  <c r="A13" i="8"/>
  <c r="P12" i="8"/>
  <c r="J12" i="8"/>
  <c r="A12" i="8"/>
  <c r="P11" i="8"/>
  <c r="J11" i="8"/>
  <c r="A11" i="8"/>
  <c r="P10" i="8"/>
  <c r="J10" i="8"/>
  <c r="A10" i="8"/>
  <c r="P9" i="8"/>
  <c r="J9" i="8"/>
  <c r="A9" i="8"/>
  <c r="P8" i="8"/>
  <c r="J8" i="8"/>
  <c r="A8" i="8"/>
  <c r="P7" i="8"/>
  <c r="J7" i="8"/>
  <c r="A7" i="8"/>
  <c r="P6" i="8"/>
  <c r="J6" i="8"/>
  <c r="A6" i="8"/>
  <c r="P5" i="8"/>
  <c r="J5" i="8"/>
  <c r="A5" i="8"/>
  <c r="P4" i="8"/>
  <c r="J4" i="8"/>
  <c r="A4" i="8"/>
  <c r="P3" i="8"/>
  <c r="J3" i="8"/>
  <c r="A3" i="8"/>
  <c r="P2" i="8"/>
  <c r="J2" i="8"/>
  <c r="A2" i="8"/>
  <c r="P1" i="8"/>
  <c r="J1" i="8"/>
  <c r="A1" i="8"/>
  <c r="B268" i="7"/>
  <c r="A268" i="7"/>
  <c r="B267" i="7"/>
  <c r="A267" i="7"/>
  <c r="B266" i="7"/>
  <c r="A266" i="7"/>
  <c r="B265" i="7"/>
  <c r="A265" i="7"/>
  <c r="B264" i="7"/>
  <c r="A264" i="7"/>
  <c r="B263" i="7"/>
  <c r="A263" i="7"/>
  <c r="B262" i="7"/>
  <c r="A262" i="7"/>
  <c r="B261" i="7"/>
  <c r="A261" i="7"/>
  <c r="B260" i="7"/>
  <c r="A260" i="7"/>
  <c r="B259" i="7"/>
  <c r="A259" i="7"/>
  <c r="B258" i="7"/>
  <c r="A258" i="7"/>
  <c r="B257" i="7"/>
  <c r="A257" i="7"/>
  <c r="B256" i="7"/>
  <c r="A256" i="7"/>
  <c r="B255" i="7"/>
  <c r="A255" i="7"/>
  <c r="B254" i="7"/>
  <c r="A254" i="7"/>
  <c r="B253" i="7"/>
  <c r="A253" i="7"/>
  <c r="B252" i="7"/>
  <c r="A252" i="7"/>
  <c r="B251" i="7"/>
  <c r="A251" i="7"/>
  <c r="B250" i="7"/>
  <c r="A250" i="7"/>
  <c r="B249" i="7"/>
  <c r="A249" i="7"/>
  <c r="B248" i="7"/>
  <c r="A248" i="7"/>
  <c r="B247" i="7"/>
  <c r="A247" i="7"/>
  <c r="B246" i="7"/>
  <c r="A246" i="7"/>
  <c r="B245" i="7"/>
  <c r="A245" i="7"/>
  <c r="B244" i="7"/>
  <c r="A244" i="7"/>
  <c r="B243" i="7"/>
  <c r="A243" i="7"/>
  <c r="B242" i="7"/>
  <c r="A242" i="7"/>
  <c r="B241" i="7"/>
  <c r="A241" i="7"/>
  <c r="B240" i="7"/>
  <c r="A240" i="7"/>
  <c r="B239" i="7"/>
  <c r="A239" i="7"/>
  <c r="B238" i="7"/>
  <c r="A238" i="7"/>
  <c r="B237" i="7"/>
  <c r="A237" i="7"/>
  <c r="B236" i="7"/>
  <c r="A236" i="7"/>
  <c r="B235" i="7"/>
  <c r="A235" i="7"/>
  <c r="B234" i="7"/>
  <c r="A234" i="7"/>
  <c r="B233" i="7"/>
  <c r="A233" i="7"/>
  <c r="B232" i="7"/>
  <c r="A232" i="7"/>
  <c r="B231" i="7"/>
  <c r="A231" i="7"/>
  <c r="B230" i="7"/>
  <c r="A230" i="7"/>
  <c r="B229" i="7"/>
  <c r="A229" i="7"/>
  <c r="B228" i="7"/>
  <c r="A228" i="7"/>
  <c r="B227" i="7"/>
  <c r="A227" i="7"/>
  <c r="B226" i="7"/>
  <c r="A226" i="7"/>
  <c r="B225" i="7"/>
  <c r="A225" i="7"/>
  <c r="B224" i="7"/>
  <c r="A224" i="7"/>
  <c r="B223" i="7"/>
  <c r="A223" i="7"/>
  <c r="B222" i="7"/>
  <c r="A222" i="7"/>
  <c r="B221" i="7"/>
  <c r="A221" i="7"/>
  <c r="B220" i="7"/>
  <c r="A220" i="7"/>
  <c r="B219" i="7"/>
  <c r="A219" i="7"/>
  <c r="B218" i="7"/>
  <c r="A218" i="7"/>
  <c r="B217" i="7"/>
  <c r="A217" i="7"/>
  <c r="B216" i="7"/>
  <c r="A216" i="7"/>
  <c r="B215" i="7"/>
  <c r="A215" i="7"/>
  <c r="B214" i="7"/>
  <c r="A214" i="7"/>
  <c r="B213" i="7"/>
  <c r="A213" i="7"/>
  <c r="B212" i="7"/>
  <c r="A212" i="7"/>
  <c r="B211" i="7"/>
  <c r="A211" i="7"/>
  <c r="B210" i="7"/>
  <c r="A210" i="7"/>
  <c r="B209" i="7"/>
  <c r="A209" i="7"/>
  <c r="B208" i="7"/>
  <c r="A208" i="7"/>
  <c r="B207" i="7"/>
  <c r="A207" i="7"/>
  <c r="B206" i="7"/>
  <c r="A206" i="7"/>
  <c r="B205" i="7"/>
  <c r="A205" i="7"/>
  <c r="B204" i="7"/>
  <c r="A204" i="7"/>
  <c r="B203" i="7"/>
  <c r="A203" i="7"/>
  <c r="B202" i="7"/>
  <c r="A202" i="7"/>
  <c r="B201" i="7"/>
  <c r="A201" i="7"/>
  <c r="B200" i="7"/>
  <c r="A200" i="7"/>
  <c r="B199" i="7"/>
  <c r="A199" i="7"/>
  <c r="B198" i="7"/>
  <c r="A198" i="7"/>
  <c r="B197" i="7"/>
  <c r="A197" i="7"/>
  <c r="B196" i="7"/>
  <c r="A196" i="7"/>
  <c r="B195" i="7"/>
  <c r="A195" i="7"/>
  <c r="B194" i="7"/>
  <c r="A194" i="7"/>
  <c r="B193" i="7"/>
  <c r="A193" i="7"/>
  <c r="B192" i="7"/>
  <c r="A192" i="7"/>
  <c r="B191" i="7"/>
  <c r="A191" i="7"/>
  <c r="B190" i="7"/>
  <c r="A190" i="7"/>
  <c r="B189" i="7"/>
  <c r="A189" i="7"/>
  <c r="B188" i="7"/>
  <c r="A188" i="7"/>
  <c r="B187" i="7"/>
  <c r="A187" i="7"/>
  <c r="B186" i="7"/>
  <c r="A186" i="7"/>
  <c r="B185" i="7"/>
  <c r="A185" i="7"/>
  <c r="B184" i="7"/>
  <c r="A184" i="7"/>
  <c r="B183" i="7"/>
  <c r="A183" i="7"/>
  <c r="B182" i="7"/>
  <c r="A182" i="7"/>
  <c r="B181" i="7"/>
  <c r="A181" i="7"/>
  <c r="B180" i="7"/>
  <c r="A180" i="7"/>
  <c r="B179" i="7"/>
  <c r="A179" i="7"/>
  <c r="B178" i="7"/>
  <c r="A178" i="7"/>
  <c r="B177" i="7"/>
  <c r="A177" i="7"/>
  <c r="B176" i="7"/>
  <c r="A176" i="7"/>
  <c r="B175" i="7"/>
  <c r="A175" i="7"/>
  <c r="B174" i="7"/>
  <c r="A174" i="7"/>
  <c r="B173" i="7"/>
  <c r="A173" i="7"/>
  <c r="B172" i="7"/>
  <c r="A172" i="7"/>
  <c r="B171" i="7"/>
  <c r="A171" i="7"/>
  <c r="B170" i="7"/>
  <c r="A170" i="7"/>
  <c r="B169" i="7"/>
  <c r="A169" i="7"/>
  <c r="B168" i="7"/>
  <c r="A168" i="7"/>
  <c r="B167" i="7"/>
  <c r="A167" i="7"/>
  <c r="B166" i="7"/>
  <c r="A166" i="7"/>
  <c r="B165" i="7"/>
  <c r="A165" i="7"/>
  <c r="B164" i="7"/>
  <c r="A164" i="7"/>
  <c r="B163" i="7"/>
  <c r="A163" i="7"/>
  <c r="B162" i="7"/>
  <c r="A162" i="7"/>
  <c r="B161" i="7"/>
  <c r="A161" i="7"/>
  <c r="B160" i="7"/>
  <c r="A160" i="7"/>
  <c r="B159" i="7"/>
  <c r="A159" i="7"/>
  <c r="B158" i="7"/>
  <c r="A158" i="7"/>
  <c r="B157" i="7"/>
  <c r="A157" i="7"/>
  <c r="B156" i="7"/>
  <c r="A156" i="7"/>
  <c r="B155" i="7"/>
  <c r="A155" i="7"/>
  <c r="B154" i="7"/>
  <c r="A154" i="7"/>
  <c r="B153" i="7"/>
  <c r="A153" i="7"/>
  <c r="B152" i="7"/>
  <c r="A152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40" i="7"/>
  <c r="A140" i="7"/>
  <c r="B139" i="7"/>
  <c r="A139" i="7"/>
  <c r="B138" i="7"/>
  <c r="A138" i="7"/>
  <c r="B137" i="7"/>
  <c r="A137" i="7"/>
  <c r="B136" i="7"/>
  <c r="A136" i="7"/>
  <c r="B135" i="7"/>
  <c r="A135" i="7"/>
  <c r="B134" i="7"/>
  <c r="A134" i="7"/>
  <c r="B133" i="7"/>
  <c r="A133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21" i="7"/>
  <c r="A121" i="7"/>
  <c r="B120" i="7"/>
  <c r="A120" i="7"/>
  <c r="B119" i="7"/>
  <c r="A119" i="7"/>
  <c r="B118" i="7"/>
  <c r="A118" i="7"/>
  <c r="B117" i="7"/>
  <c r="A117" i="7"/>
  <c r="B116" i="7"/>
  <c r="A116" i="7"/>
  <c r="B115" i="7"/>
  <c r="A115" i="7"/>
  <c r="B114" i="7"/>
  <c r="A114" i="7"/>
  <c r="B113" i="7"/>
  <c r="A113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A101" i="7"/>
  <c r="B100" i="7"/>
  <c r="A100" i="7"/>
  <c r="B99" i="7"/>
  <c r="A99" i="7"/>
  <c r="B98" i="7"/>
  <c r="A98" i="7"/>
  <c r="B97" i="7"/>
  <c r="A97" i="7"/>
  <c r="B96" i="7"/>
  <c r="A96" i="7"/>
  <c r="B95" i="7"/>
  <c r="A95" i="7"/>
  <c r="B94" i="7"/>
  <c r="A94" i="7"/>
  <c r="B93" i="7"/>
  <c r="A93" i="7"/>
  <c r="B92" i="7"/>
  <c r="A92" i="7"/>
  <c r="B91" i="7"/>
  <c r="A91" i="7"/>
  <c r="B90" i="7"/>
  <c r="A90" i="7"/>
  <c r="B89" i="7"/>
  <c r="A89" i="7"/>
  <c r="B88" i="7"/>
  <c r="A88" i="7"/>
  <c r="B87" i="7"/>
  <c r="A87" i="7"/>
  <c r="B86" i="7"/>
  <c r="A86" i="7"/>
  <c r="B85" i="7"/>
  <c r="A85" i="7"/>
  <c r="B84" i="7"/>
  <c r="A84" i="7"/>
  <c r="B83" i="7"/>
  <c r="A83" i="7"/>
  <c r="B82" i="7"/>
  <c r="A82" i="7"/>
  <c r="B81" i="7"/>
  <c r="A81" i="7"/>
  <c r="B80" i="7"/>
  <c r="A80" i="7"/>
  <c r="B79" i="7"/>
  <c r="A79" i="7"/>
  <c r="B78" i="7"/>
  <c r="A78" i="7"/>
  <c r="B77" i="7"/>
  <c r="A77" i="7"/>
  <c r="B76" i="7"/>
  <c r="A76" i="7"/>
  <c r="B75" i="7"/>
  <c r="A75" i="7"/>
  <c r="B74" i="7"/>
  <c r="A74" i="7"/>
  <c r="B73" i="7"/>
  <c r="A73" i="7"/>
  <c r="B72" i="7"/>
  <c r="A72" i="7"/>
  <c r="B71" i="7"/>
  <c r="A71" i="7"/>
  <c r="B70" i="7"/>
  <c r="A70" i="7"/>
  <c r="B69" i="7"/>
  <c r="A69" i="7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B7" i="7"/>
  <c r="A7" i="7"/>
  <c r="B6" i="7"/>
  <c r="A6" i="7"/>
  <c r="B5" i="7"/>
  <c r="A5" i="7"/>
  <c r="B4" i="7"/>
  <c r="A4" i="7"/>
  <c r="B3" i="7"/>
  <c r="A3" i="7"/>
  <c r="B2" i="7"/>
  <c r="A2" i="7"/>
  <c r="B1" i="7"/>
  <c r="A1" i="7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A12" i="5"/>
  <c r="A11" i="5"/>
  <c r="A10" i="5"/>
  <c r="A9" i="5"/>
  <c r="A8" i="5"/>
  <c r="A7" i="5"/>
  <c r="A6" i="5"/>
  <c r="A5" i="5"/>
  <c r="A4" i="5"/>
  <c r="A3" i="5"/>
  <c r="A2" i="5"/>
  <c r="A1" i="5"/>
  <c r="A27" i="4" l="1"/>
  <c r="A27" i="2"/>
</calcChain>
</file>

<file path=xl/sharedStrings.xml><?xml version="1.0" encoding="utf-8"?>
<sst xmlns="http://schemas.openxmlformats.org/spreadsheetml/2006/main" count="645" uniqueCount="35">
  <si>
    <t>HEA100</t>
  </si>
  <si>
    <t>HE</t>
  </si>
  <si>
    <t>A</t>
  </si>
  <si>
    <t>M</t>
  </si>
  <si>
    <t>B</t>
  </si>
  <si>
    <t>UPE</t>
  </si>
  <si>
    <t>-</t>
  </si>
  <si>
    <t></t>
  </si>
  <si>
    <t>2 37</t>
  </si>
  <si>
    <t>L</t>
  </si>
  <si>
    <t>X</t>
  </si>
  <si>
    <t>NAZWA PROFILU</t>
  </si>
  <si>
    <t>h</t>
  </si>
  <si>
    <t>b</t>
  </si>
  <si>
    <t>tw</t>
  </si>
  <si>
    <t>tf</t>
  </si>
  <si>
    <t>r</t>
  </si>
  <si>
    <t>mm</t>
  </si>
  <si>
    <t>mm2</t>
  </si>
  <si>
    <t>MLSTYLE</t>
  </si>
  <si>
    <t xml:space="preserve"> </t>
  </si>
  <si>
    <t xml:space="preserve"> Continuous</t>
  </si>
  <si>
    <t>DASHED</t>
  </si>
  <si>
    <t>CENTER</t>
  </si>
  <si>
    <t>ys</t>
  </si>
  <si>
    <t>mmx10</t>
  </si>
  <si>
    <t>UPE80</t>
  </si>
  <si>
    <t>t</t>
  </si>
  <si>
    <t>ro</t>
  </si>
  <si>
    <t>ri</t>
  </si>
  <si>
    <t>RHS20X20X2</t>
  </si>
  <si>
    <t>r1</t>
  </si>
  <si>
    <t>r2</t>
  </si>
  <si>
    <t>zs</t>
  </si>
  <si>
    <t>L20X20X3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</si>
</sst>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"/>
  </numFmts>
  <fonts count="3" x14ac:knownFonts="1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color indexed="9"/>
      <name val="Arial CE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13"/>
        <bgColor indexed="3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3" borderId="0" xfId="0" applyFon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</cellXfs>
  <cellStyles count="2">
    <cellStyle name="Normalny" xfId="0" builtinId="0"/>
    <cellStyle name="Normalny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H142"/>
  <sheetViews>
    <sheetView tabSelected="1"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1" t="s">
        <v>11</v>
      </c>
      <c r="B1" s="1"/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2</v>
      </c>
    </row>
    <row r="2" spans="1:8" x14ac:dyDescent="0.25">
      <c r="A2" s="1"/>
      <c r="B2" s="1"/>
      <c r="C2" s="2" t="s">
        <v>17</v>
      </c>
      <c r="D2" s="2" t="s">
        <v>17</v>
      </c>
      <c r="E2" s="2" t="s">
        <v>17</v>
      </c>
      <c r="F2" s="2" t="s">
        <v>17</v>
      </c>
      <c r="G2" s="2" t="s">
        <v>17</v>
      </c>
      <c r="H2" s="2" t="s">
        <v>18</v>
      </c>
    </row>
    <row r="3" spans="1:8" x14ac:dyDescent="0.25">
      <c r="A3" s="7" t="s">
        <v>0</v>
      </c>
      <c r="B3" s="7"/>
      <c r="C3" s="6">
        <f>INDEX(BAZA_BISYMETRYCZNY!$F$1:$F$12,MATCH($A$3,BAZA_BISYMETRYCZNY!$A$1:$A$12,0))</f>
        <v>96</v>
      </c>
      <c r="D3" s="6">
        <f>INDEX(BAZA_BISYMETRYCZNY!$G$1:$G$12,MATCH($A$3,BAZA_BISYMETRYCZNY!$A$1:$A$12,0))</f>
        <v>100</v>
      </c>
      <c r="E3" s="6">
        <f>INDEX(BAZA_BISYMETRYCZNY!$H$1:$H$12,MATCH($A$3,BAZA_BISYMETRYCZNY!$A$1:$A$12,0))</f>
        <v>5</v>
      </c>
      <c r="F3" s="6">
        <f>INDEX(BAZA_BISYMETRYCZNY!$I$1:$I$12,MATCH($A$3,BAZA_BISYMETRYCZNY!$A$1:$A$12,0))</f>
        <v>8</v>
      </c>
      <c r="G3" s="6">
        <f>INDEX(BAZA_BISYMETRYCZNY!$J$1:$J$12,MATCH($A$3,BAZA_BISYMETRYCZNY!$A$1:$A$12,0))</f>
        <v>12</v>
      </c>
      <c r="H3" s="6">
        <f>INDEX(BAZA_BISYMETRYCZNY!$K$1:$K$12,MATCH($A$3,BAZA_BISYMETRYCZNY!$A$1:$A$12,0))</f>
        <v>21.2</v>
      </c>
    </row>
    <row r="4" spans="1:8" x14ac:dyDescent="0.25">
      <c r="A4" s="5" t="str">
        <f>A3</f>
        <v>HEA100</v>
      </c>
    </row>
    <row r="5" spans="1:8" x14ac:dyDescent="0.25">
      <c r="A5" s="3" t="s">
        <v>19</v>
      </c>
    </row>
    <row r="6" spans="1:8" x14ac:dyDescent="0.25">
      <c r="A6" s="3">
        <v>2</v>
      </c>
    </row>
    <row r="7" spans="1:8" x14ac:dyDescent="0.25">
      <c r="A7" s="3" t="str">
        <f>"AZT_PL_WID_G_"&amp;A3</f>
        <v>AZT_PL_WID_G_HEA100</v>
      </c>
    </row>
    <row r="8" spans="1:8" x14ac:dyDescent="0.25">
      <c r="A8" s="3">
        <v>70</v>
      </c>
    </row>
    <row r="9" spans="1:8" x14ac:dyDescent="0.25">
      <c r="A9" s="3">
        <v>0</v>
      </c>
    </row>
    <row r="10" spans="1:8" x14ac:dyDescent="0.25">
      <c r="A10" s="3">
        <v>3</v>
      </c>
    </row>
    <row r="11" spans="1:8" x14ac:dyDescent="0.25">
      <c r="A11" s="3" t="s">
        <v>20</v>
      </c>
    </row>
    <row r="12" spans="1:8" x14ac:dyDescent="0.25">
      <c r="A12" s="3">
        <v>62</v>
      </c>
    </row>
    <row r="13" spans="1:8" x14ac:dyDescent="0.25">
      <c r="A13" s="3">
        <v>256</v>
      </c>
    </row>
    <row r="14" spans="1:8" x14ac:dyDescent="0.25">
      <c r="A14" s="3">
        <v>51</v>
      </c>
    </row>
    <row r="15" spans="1:8" x14ac:dyDescent="0.25">
      <c r="A15" s="3">
        <v>90</v>
      </c>
    </row>
    <row r="16" spans="1:8" x14ac:dyDescent="0.25">
      <c r="A16" s="3">
        <v>52</v>
      </c>
    </row>
    <row r="17" spans="1:1" x14ac:dyDescent="0.25">
      <c r="A17" s="3">
        <v>90</v>
      </c>
    </row>
    <row r="18" spans="1:1" x14ac:dyDescent="0.25">
      <c r="A18" s="3">
        <v>71</v>
      </c>
    </row>
    <row r="19" spans="1:1" x14ac:dyDescent="0.25">
      <c r="A19" s="3">
        <v>5</v>
      </c>
    </row>
    <row r="20" spans="1:1" x14ac:dyDescent="0.25">
      <c r="A20" s="3">
        <v>49</v>
      </c>
    </row>
    <row r="21" spans="1:1" x14ac:dyDescent="0.25">
      <c r="A21" s="4">
        <f>D3/2</f>
        <v>50</v>
      </c>
    </row>
    <row r="22" spans="1:1" x14ac:dyDescent="0.25">
      <c r="A22" s="3">
        <v>62</v>
      </c>
    </row>
    <row r="23" spans="1:1" x14ac:dyDescent="0.25">
      <c r="A23" s="3">
        <v>2</v>
      </c>
    </row>
    <row r="24" spans="1:1" x14ac:dyDescent="0.25">
      <c r="A24" s="3">
        <v>6</v>
      </c>
    </row>
    <row r="25" spans="1:1" x14ac:dyDescent="0.25">
      <c r="A25" s="3" t="s">
        <v>21</v>
      </c>
    </row>
    <row r="26" spans="1:1" x14ac:dyDescent="0.25">
      <c r="A26" s="3">
        <v>49</v>
      </c>
    </row>
    <row r="27" spans="1:1" x14ac:dyDescent="0.25">
      <c r="A27" s="4">
        <f>E3/2</f>
        <v>2.5</v>
      </c>
    </row>
    <row r="28" spans="1:1" x14ac:dyDescent="0.25">
      <c r="A28" s="3">
        <v>62</v>
      </c>
    </row>
    <row r="29" spans="1:1" x14ac:dyDescent="0.25">
      <c r="A29" s="3">
        <v>4</v>
      </c>
    </row>
    <row r="30" spans="1:1" x14ac:dyDescent="0.25">
      <c r="A30" s="3">
        <v>6</v>
      </c>
    </row>
    <row r="31" spans="1:1" x14ac:dyDescent="0.25">
      <c r="A31" s="3" t="s">
        <v>22</v>
      </c>
    </row>
    <row r="32" spans="1:1" x14ac:dyDescent="0.25">
      <c r="A32" s="3">
        <v>49</v>
      </c>
    </row>
    <row r="33" spans="1:1" x14ac:dyDescent="0.25">
      <c r="A33" s="4">
        <v>0</v>
      </c>
    </row>
    <row r="34" spans="1:1" x14ac:dyDescent="0.25">
      <c r="A34" s="3">
        <v>62</v>
      </c>
    </row>
    <row r="35" spans="1:1" x14ac:dyDescent="0.25">
      <c r="A35" s="3">
        <v>6</v>
      </c>
    </row>
    <row r="36" spans="1:1" x14ac:dyDescent="0.25">
      <c r="A36" s="3">
        <v>6</v>
      </c>
    </row>
    <row r="37" spans="1:1" x14ac:dyDescent="0.25">
      <c r="A37" s="3" t="s">
        <v>23</v>
      </c>
    </row>
    <row r="38" spans="1:1" x14ac:dyDescent="0.25">
      <c r="A38" s="3">
        <v>49</v>
      </c>
    </row>
    <row r="39" spans="1:1" x14ac:dyDescent="0.25">
      <c r="A39" s="4">
        <f>-E3/2</f>
        <v>-2.5</v>
      </c>
    </row>
    <row r="40" spans="1:1" x14ac:dyDescent="0.25">
      <c r="A40" s="3">
        <v>62</v>
      </c>
    </row>
    <row r="41" spans="1:1" x14ac:dyDescent="0.25">
      <c r="A41" s="3">
        <v>4</v>
      </c>
    </row>
    <row r="42" spans="1:1" x14ac:dyDescent="0.25">
      <c r="A42" s="3">
        <v>6</v>
      </c>
    </row>
    <row r="43" spans="1:1" x14ac:dyDescent="0.25">
      <c r="A43" s="3" t="s">
        <v>22</v>
      </c>
    </row>
    <row r="44" spans="1:1" x14ac:dyDescent="0.25">
      <c r="A44" s="3">
        <v>49</v>
      </c>
    </row>
    <row r="45" spans="1:1" x14ac:dyDescent="0.25">
      <c r="A45" s="4">
        <f>-D3/2</f>
        <v>-50</v>
      </c>
    </row>
    <row r="46" spans="1:1" x14ac:dyDescent="0.25">
      <c r="A46" s="3">
        <v>62</v>
      </c>
    </row>
    <row r="47" spans="1:1" x14ac:dyDescent="0.25">
      <c r="A47" s="3">
        <v>2</v>
      </c>
    </row>
    <row r="48" spans="1:1" x14ac:dyDescent="0.25">
      <c r="A48" s="3">
        <v>6</v>
      </c>
    </row>
    <row r="49" spans="1:1" x14ac:dyDescent="0.25">
      <c r="A49" s="3" t="s">
        <v>21</v>
      </c>
    </row>
    <row r="50" spans="1:1" x14ac:dyDescent="0.25">
      <c r="A50" s="3">
        <v>0</v>
      </c>
    </row>
    <row r="51" spans="1:1" x14ac:dyDescent="0.25">
      <c r="A51" s="3" t="s">
        <v>19</v>
      </c>
    </row>
    <row r="52" spans="1:1" x14ac:dyDescent="0.25">
      <c r="A52" s="3">
        <v>2</v>
      </c>
    </row>
    <row r="53" spans="1:1" x14ac:dyDescent="0.25">
      <c r="A53" s="3" t="str">
        <f>"AZT_PL_WID_B_W_"&amp;A3</f>
        <v>AZT_PL_WID_B_W_HEA100</v>
      </c>
    </row>
    <row r="54" spans="1:1" x14ac:dyDescent="0.25">
      <c r="A54" s="3">
        <v>70</v>
      </c>
    </row>
    <row r="55" spans="1:1" x14ac:dyDescent="0.25">
      <c r="A55" s="3">
        <v>0</v>
      </c>
    </row>
    <row r="56" spans="1:1" x14ac:dyDescent="0.25">
      <c r="A56" s="3">
        <v>3</v>
      </c>
    </row>
    <row r="57" spans="1:1" x14ac:dyDescent="0.25">
      <c r="A57" s="3" t="s">
        <v>20</v>
      </c>
    </row>
    <row r="58" spans="1:1" x14ac:dyDescent="0.25">
      <c r="A58" s="3">
        <v>62</v>
      </c>
    </row>
    <row r="59" spans="1:1" x14ac:dyDescent="0.25">
      <c r="A59" s="3">
        <v>256</v>
      </c>
    </row>
    <row r="60" spans="1:1" x14ac:dyDescent="0.25">
      <c r="A60" s="3">
        <v>51</v>
      </c>
    </row>
    <row r="61" spans="1:1" x14ac:dyDescent="0.25">
      <c r="A61" s="3">
        <v>90</v>
      </c>
    </row>
    <row r="62" spans="1:1" x14ac:dyDescent="0.25">
      <c r="A62" s="3">
        <v>52</v>
      </c>
    </row>
    <row r="63" spans="1:1" x14ac:dyDescent="0.25">
      <c r="A63" s="3">
        <v>90</v>
      </c>
    </row>
    <row r="64" spans="1:1" x14ac:dyDescent="0.25">
      <c r="A64" s="3">
        <v>71</v>
      </c>
    </row>
    <row r="65" spans="1:1" x14ac:dyDescent="0.25">
      <c r="A65" s="3">
        <v>5</v>
      </c>
    </row>
    <row r="66" spans="1:1" x14ac:dyDescent="0.25">
      <c r="A66" s="3">
        <v>49</v>
      </c>
    </row>
    <row r="67" spans="1:1" x14ac:dyDescent="0.25">
      <c r="A67" s="4">
        <f>C3/2</f>
        <v>48</v>
      </c>
    </row>
    <row r="68" spans="1:1" x14ac:dyDescent="0.25">
      <c r="A68" s="3">
        <v>62</v>
      </c>
    </row>
    <row r="69" spans="1:1" x14ac:dyDescent="0.25">
      <c r="A69" s="3">
        <v>2</v>
      </c>
    </row>
    <row r="70" spans="1:1" x14ac:dyDescent="0.25">
      <c r="A70" s="3">
        <v>6</v>
      </c>
    </row>
    <row r="71" spans="1:1" x14ac:dyDescent="0.25">
      <c r="A71" s="3" t="s">
        <v>21</v>
      </c>
    </row>
    <row r="72" spans="1:1" x14ac:dyDescent="0.25">
      <c r="A72" s="3">
        <v>49</v>
      </c>
    </row>
    <row r="73" spans="1:1" x14ac:dyDescent="0.25">
      <c r="A73" s="4">
        <f>A67-F3</f>
        <v>40</v>
      </c>
    </row>
    <row r="74" spans="1:1" x14ac:dyDescent="0.25">
      <c r="A74" s="3">
        <v>62</v>
      </c>
    </row>
    <row r="75" spans="1:1" x14ac:dyDescent="0.25">
      <c r="A75" s="3">
        <v>2</v>
      </c>
    </row>
    <row r="76" spans="1:1" x14ac:dyDescent="0.25">
      <c r="A76" s="3">
        <v>6</v>
      </c>
    </row>
    <row r="77" spans="1:1" x14ac:dyDescent="0.25">
      <c r="A77" s="3" t="s">
        <v>21</v>
      </c>
    </row>
    <row r="78" spans="1:1" x14ac:dyDescent="0.25">
      <c r="A78" s="3">
        <v>49</v>
      </c>
    </row>
    <row r="79" spans="1:1" x14ac:dyDescent="0.25">
      <c r="A79" s="3">
        <v>0</v>
      </c>
    </row>
    <row r="80" spans="1:1" x14ac:dyDescent="0.25">
      <c r="A80" s="3">
        <v>62</v>
      </c>
    </row>
    <row r="81" spans="1:1" x14ac:dyDescent="0.25">
      <c r="A81" s="3">
        <v>6</v>
      </c>
    </row>
    <row r="82" spans="1:1" x14ac:dyDescent="0.25">
      <c r="A82" s="3">
        <v>6</v>
      </c>
    </row>
    <row r="83" spans="1:1" x14ac:dyDescent="0.25">
      <c r="A83" s="3" t="s">
        <v>23</v>
      </c>
    </row>
    <row r="84" spans="1:1" x14ac:dyDescent="0.25">
      <c r="A84" s="3">
        <v>49</v>
      </c>
    </row>
    <row r="85" spans="1:1" x14ac:dyDescent="0.25">
      <c r="A85" s="4">
        <f>A91+F3</f>
        <v>-40</v>
      </c>
    </row>
    <row r="86" spans="1:1" x14ac:dyDescent="0.25">
      <c r="A86" s="3">
        <v>62</v>
      </c>
    </row>
    <row r="87" spans="1:1" x14ac:dyDescent="0.25">
      <c r="A87" s="3">
        <v>2</v>
      </c>
    </row>
    <row r="88" spans="1:1" x14ac:dyDescent="0.25">
      <c r="A88" s="3">
        <v>6</v>
      </c>
    </row>
    <row r="89" spans="1:1" x14ac:dyDescent="0.25">
      <c r="A89" s="3" t="s">
        <v>21</v>
      </c>
    </row>
    <row r="90" spans="1:1" x14ac:dyDescent="0.25">
      <c r="A90" s="3">
        <v>49</v>
      </c>
    </row>
    <row r="91" spans="1:1" x14ac:dyDescent="0.25">
      <c r="A91" s="4">
        <f>-(C3/2)</f>
        <v>-48</v>
      </c>
    </row>
    <row r="92" spans="1:1" x14ac:dyDescent="0.25">
      <c r="A92" s="3">
        <v>62</v>
      </c>
    </row>
    <row r="93" spans="1:1" x14ac:dyDescent="0.25">
      <c r="A93" s="3">
        <v>2</v>
      </c>
    </row>
    <row r="94" spans="1:1" x14ac:dyDescent="0.25">
      <c r="A94" s="3">
        <v>6</v>
      </c>
    </row>
    <row r="95" spans="1:1" x14ac:dyDescent="0.25">
      <c r="A95" s="3" t="s">
        <v>21</v>
      </c>
    </row>
    <row r="96" spans="1:1" x14ac:dyDescent="0.25">
      <c r="A96" s="3">
        <v>0</v>
      </c>
    </row>
    <row r="97" spans="1:1" x14ac:dyDescent="0.25">
      <c r="A97" s="3" t="s">
        <v>19</v>
      </c>
    </row>
    <row r="98" spans="1:1" x14ac:dyDescent="0.25">
      <c r="A98" s="3">
        <v>2</v>
      </c>
    </row>
    <row r="99" spans="1:1" x14ac:dyDescent="0.25">
      <c r="A99" s="3" t="str">
        <f>"AZT_PL_WID_B_NW_"&amp;A3</f>
        <v>AZT_PL_WID_B_NW_HEA100</v>
      </c>
    </row>
    <row r="100" spans="1:1" x14ac:dyDescent="0.25">
      <c r="A100" s="3">
        <v>70</v>
      </c>
    </row>
    <row r="101" spans="1:1" x14ac:dyDescent="0.25">
      <c r="A101" s="3">
        <v>0</v>
      </c>
    </row>
    <row r="102" spans="1:1" x14ac:dyDescent="0.25">
      <c r="A102" s="3">
        <v>3</v>
      </c>
    </row>
    <row r="103" spans="1:1" x14ac:dyDescent="0.25">
      <c r="A103" s="3" t="s">
        <v>20</v>
      </c>
    </row>
    <row r="104" spans="1:1" x14ac:dyDescent="0.25">
      <c r="A104" s="3">
        <v>62</v>
      </c>
    </row>
    <row r="105" spans="1:1" x14ac:dyDescent="0.25">
      <c r="A105" s="3">
        <v>256</v>
      </c>
    </row>
    <row r="106" spans="1:1" x14ac:dyDescent="0.25">
      <c r="A106" s="3">
        <v>51</v>
      </c>
    </row>
    <row r="107" spans="1:1" x14ac:dyDescent="0.25">
      <c r="A107" s="3">
        <v>90</v>
      </c>
    </row>
    <row r="108" spans="1:1" x14ac:dyDescent="0.25">
      <c r="A108" s="3">
        <v>52</v>
      </c>
    </row>
    <row r="109" spans="1:1" x14ac:dyDescent="0.25">
      <c r="A109" s="3">
        <v>90</v>
      </c>
    </row>
    <row r="110" spans="1:1" x14ac:dyDescent="0.25">
      <c r="A110" s="3">
        <v>71</v>
      </c>
    </row>
    <row r="111" spans="1:1" x14ac:dyDescent="0.25">
      <c r="A111" s="3">
        <v>5</v>
      </c>
    </row>
    <row r="112" spans="1:1" x14ac:dyDescent="0.25">
      <c r="A112" s="3">
        <v>49</v>
      </c>
    </row>
    <row r="113" spans="1:1" x14ac:dyDescent="0.25">
      <c r="A113" s="4">
        <f>C3/2</f>
        <v>48</v>
      </c>
    </row>
    <row r="114" spans="1:1" x14ac:dyDescent="0.25">
      <c r="A114" s="3">
        <v>62</v>
      </c>
    </row>
    <row r="115" spans="1:1" x14ac:dyDescent="0.25">
      <c r="A115" s="3">
        <v>2</v>
      </c>
    </row>
    <row r="116" spans="1:1" x14ac:dyDescent="0.25">
      <c r="A116" s="3">
        <v>6</v>
      </c>
    </row>
    <row r="117" spans="1:1" x14ac:dyDescent="0.25">
      <c r="A117" s="3" t="s">
        <v>21</v>
      </c>
    </row>
    <row r="118" spans="1:1" x14ac:dyDescent="0.25">
      <c r="A118" s="3">
        <v>49</v>
      </c>
    </row>
    <row r="119" spans="1:1" x14ac:dyDescent="0.25">
      <c r="A119" s="4">
        <f>A113-F3</f>
        <v>40</v>
      </c>
    </row>
    <row r="120" spans="1:1" x14ac:dyDescent="0.25">
      <c r="A120" s="3">
        <v>62</v>
      </c>
    </row>
    <row r="121" spans="1:1" x14ac:dyDescent="0.25">
      <c r="A121" s="3">
        <v>2</v>
      </c>
    </row>
    <row r="122" spans="1:1" x14ac:dyDescent="0.25">
      <c r="A122" s="3">
        <v>6</v>
      </c>
    </row>
    <row r="123" spans="1:1" x14ac:dyDescent="0.25">
      <c r="A123" s="3" t="s">
        <v>21</v>
      </c>
    </row>
    <row r="124" spans="1:1" x14ac:dyDescent="0.25">
      <c r="A124" s="3">
        <v>49</v>
      </c>
    </row>
    <row r="125" spans="1:1" x14ac:dyDescent="0.25">
      <c r="A125" s="3">
        <v>0</v>
      </c>
    </row>
    <row r="126" spans="1:1" x14ac:dyDescent="0.25">
      <c r="A126" s="3">
        <v>62</v>
      </c>
    </row>
    <row r="127" spans="1:1" x14ac:dyDescent="0.25">
      <c r="A127" s="3">
        <v>6</v>
      </c>
    </row>
    <row r="128" spans="1:1" x14ac:dyDescent="0.25">
      <c r="A128" s="3">
        <v>6</v>
      </c>
    </row>
    <row r="129" spans="1:1" x14ac:dyDescent="0.25">
      <c r="A129" s="3" t="s">
        <v>23</v>
      </c>
    </row>
    <row r="130" spans="1:1" x14ac:dyDescent="0.25">
      <c r="A130" s="3">
        <v>49</v>
      </c>
    </row>
    <row r="131" spans="1:1" x14ac:dyDescent="0.25">
      <c r="A131" s="4">
        <f>A137+F3</f>
        <v>-40</v>
      </c>
    </row>
    <row r="132" spans="1:1" x14ac:dyDescent="0.25">
      <c r="A132" s="3">
        <v>62</v>
      </c>
    </row>
    <row r="133" spans="1:1" x14ac:dyDescent="0.25">
      <c r="A133" s="3">
        <v>2</v>
      </c>
    </row>
    <row r="134" spans="1:1" x14ac:dyDescent="0.25">
      <c r="A134" s="3">
        <v>6</v>
      </c>
    </row>
    <row r="135" spans="1:1" x14ac:dyDescent="0.25">
      <c r="A135" s="3" t="s">
        <v>21</v>
      </c>
    </row>
    <row r="136" spans="1:1" x14ac:dyDescent="0.25">
      <c r="A136" s="3">
        <v>49</v>
      </c>
    </row>
    <row r="137" spans="1:1" x14ac:dyDescent="0.25">
      <c r="A137" s="4">
        <f>-(C3/2)</f>
        <v>-48</v>
      </c>
    </row>
    <row r="138" spans="1:1" x14ac:dyDescent="0.25">
      <c r="A138" s="3">
        <v>62</v>
      </c>
    </row>
    <row r="139" spans="1:1" x14ac:dyDescent="0.25">
      <c r="A139" s="3">
        <v>2</v>
      </c>
    </row>
    <row r="140" spans="1:1" x14ac:dyDescent="0.25">
      <c r="A140" s="3">
        <v>6</v>
      </c>
    </row>
    <row r="141" spans="1:1" x14ac:dyDescent="0.25">
      <c r="A141" s="3" t="s">
        <v>21</v>
      </c>
    </row>
    <row r="142" spans="1:1" x14ac:dyDescent="0.25">
      <c r="A142" s="3">
        <v>0</v>
      </c>
    </row>
  </sheetData>
  <mergeCells count="2">
    <mergeCell ref="A1:B2"/>
    <mergeCell ref="A3:B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BAZA_BISYMETRYCZNY!$A$1:$A$12</xm:f>
          </x14:formula1>
          <xm:sqref>A3:B3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I136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9" x14ac:dyDescent="0.25">
      <c r="A1" s="1" t="s">
        <v>11</v>
      </c>
      <c r="B1" s="1"/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2</v>
      </c>
      <c r="I1" s="2" t="s">
        <v>24</v>
      </c>
    </row>
    <row r="2" spans="1:9" x14ac:dyDescent="0.25">
      <c r="A2" s="1"/>
      <c r="B2" s="1"/>
      <c r="C2" s="2" t="s">
        <v>17</v>
      </c>
      <c r="D2" s="2" t="s">
        <v>17</v>
      </c>
      <c r="E2" s="2" t="s">
        <v>17</v>
      </c>
      <c r="F2" s="2" t="s">
        <v>17</v>
      </c>
      <c r="G2" s="2" t="s">
        <v>17</v>
      </c>
      <c r="H2" s="2" t="s">
        <v>18</v>
      </c>
      <c r="I2" s="2" t="s">
        <v>25</v>
      </c>
    </row>
    <row r="3" spans="1:9" x14ac:dyDescent="0.25">
      <c r="A3" s="7" t="s">
        <v>26</v>
      </c>
      <c r="B3" s="7"/>
      <c r="C3" s="6">
        <f>INDEX(BAZA_MONOSYMETRYCZNY!$E$1:$E$14,MATCH($A$3,BAZA_MONOSYMETRYCZNY!$A$1:$A$14,0))</f>
        <v>80</v>
      </c>
      <c r="D3" s="6">
        <f>INDEX(BAZA_MONOSYMETRYCZNY!$F$1:$F$14,MATCH($A$3,BAZA_MONOSYMETRYCZNY!$A$1:$A$14,0))</f>
        <v>50</v>
      </c>
      <c r="E3" s="6">
        <f>INDEX(BAZA_MONOSYMETRYCZNY!$G$1:$G$14,MATCH($A$3,BAZA_MONOSYMETRYCZNY!$A$1:$A$14,0))</f>
        <v>4</v>
      </c>
      <c r="F3" s="6">
        <f>INDEX(BAZA_MONOSYMETRYCZNY!$H$1:$H$14,MATCH($A$3,BAZA_MONOSYMETRYCZNY!$A$1:$A$14,0))</f>
        <v>7</v>
      </c>
      <c r="G3" s="6">
        <f>INDEX(BAZA_MONOSYMETRYCZNY!$I$1:$I$14,MATCH($A$3,BAZA_MONOSYMETRYCZNY!$A$1:$A$14,0))</f>
        <v>10</v>
      </c>
      <c r="H3" s="6">
        <f>INDEX(BAZA_MONOSYMETRYCZNY!$J$1:$J$14,MATCH($A$3,BAZA_MONOSYMETRYCZNY!$A$1:$A$14,0))</f>
        <v>10.1</v>
      </c>
      <c r="I3" s="6">
        <f>INDEX(BAZA_MONOSYMETRYCZNY!$AH$1:$AH$14,MATCH($A$3,BAZA_MONOSYMETRYCZNY!$A$1:$A$14,0))</f>
        <v>1.82</v>
      </c>
    </row>
    <row r="4" spans="1:9" x14ac:dyDescent="0.25">
      <c r="A4" s="5" t="str">
        <f>A3</f>
        <v>UPE80</v>
      </c>
    </row>
    <row r="5" spans="1:9" x14ac:dyDescent="0.25">
      <c r="A5" s="3" t="s">
        <v>19</v>
      </c>
    </row>
    <row r="6" spans="1:9" x14ac:dyDescent="0.25">
      <c r="A6" s="3">
        <v>2</v>
      </c>
    </row>
    <row r="7" spans="1:9" x14ac:dyDescent="0.25">
      <c r="A7" s="3" t="str">
        <f>"AZT_PL_WID_G_"&amp;A3</f>
        <v>AZT_PL_WID_G_UPE80</v>
      </c>
    </row>
    <row r="8" spans="1:9" x14ac:dyDescent="0.25">
      <c r="A8" s="3">
        <v>70</v>
      </c>
    </row>
    <row r="9" spans="1:9" x14ac:dyDescent="0.25">
      <c r="A9" s="3">
        <v>0</v>
      </c>
    </row>
    <row r="10" spans="1:9" x14ac:dyDescent="0.25">
      <c r="A10" s="3">
        <v>3</v>
      </c>
    </row>
    <row r="11" spans="1:9" x14ac:dyDescent="0.25">
      <c r="A11" s="3" t="s">
        <v>20</v>
      </c>
    </row>
    <row r="12" spans="1:9" x14ac:dyDescent="0.25">
      <c r="A12" s="3">
        <v>62</v>
      </c>
    </row>
    <row r="13" spans="1:9" x14ac:dyDescent="0.25">
      <c r="A13" s="3">
        <v>256</v>
      </c>
    </row>
    <row r="14" spans="1:9" x14ac:dyDescent="0.25">
      <c r="A14" s="3">
        <v>51</v>
      </c>
    </row>
    <row r="15" spans="1:9" x14ac:dyDescent="0.25">
      <c r="A15" s="3">
        <v>90</v>
      </c>
    </row>
    <row r="16" spans="1:9" x14ac:dyDescent="0.25">
      <c r="A16" s="3">
        <v>52</v>
      </c>
    </row>
    <row r="17" spans="1:1" x14ac:dyDescent="0.25">
      <c r="A17" s="3">
        <v>90</v>
      </c>
    </row>
    <row r="18" spans="1:1" x14ac:dyDescent="0.25">
      <c r="A18" s="3">
        <v>71</v>
      </c>
    </row>
    <row r="19" spans="1:1" x14ac:dyDescent="0.25">
      <c r="A19" s="3">
        <v>4</v>
      </c>
    </row>
    <row r="20" spans="1:1" x14ac:dyDescent="0.25">
      <c r="A20" s="3">
        <v>49</v>
      </c>
    </row>
    <row r="21" spans="1:1" x14ac:dyDescent="0.25">
      <c r="A21" s="4">
        <f>D3/2</f>
        <v>25</v>
      </c>
    </row>
    <row r="22" spans="1:1" x14ac:dyDescent="0.25">
      <c r="A22" s="3">
        <v>62</v>
      </c>
    </row>
    <row r="23" spans="1:1" x14ac:dyDescent="0.25">
      <c r="A23" s="3">
        <v>2</v>
      </c>
    </row>
    <row r="24" spans="1:1" x14ac:dyDescent="0.25">
      <c r="A24" s="3">
        <v>6</v>
      </c>
    </row>
    <row r="25" spans="1:1" x14ac:dyDescent="0.25">
      <c r="A25" s="3" t="s">
        <v>21</v>
      </c>
    </row>
    <row r="26" spans="1:1" x14ac:dyDescent="0.25">
      <c r="A26" s="3">
        <v>49</v>
      </c>
    </row>
    <row r="27" spans="1:1" x14ac:dyDescent="0.25">
      <c r="A27" s="4">
        <f>A21-E3</f>
        <v>21</v>
      </c>
    </row>
    <row r="28" spans="1:1" x14ac:dyDescent="0.25">
      <c r="A28" s="3">
        <v>62</v>
      </c>
    </row>
    <row r="29" spans="1:1" x14ac:dyDescent="0.25">
      <c r="A29" s="3">
        <v>4</v>
      </c>
    </row>
    <row r="30" spans="1:1" x14ac:dyDescent="0.25">
      <c r="A30" s="3">
        <v>6</v>
      </c>
    </row>
    <row r="31" spans="1:1" x14ac:dyDescent="0.25">
      <c r="A31" s="3" t="s">
        <v>22</v>
      </c>
    </row>
    <row r="32" spans="1:1" x14ac:dyDescent="0.25">
      <c r="A32" s="3">
        <v>49</v>
      </c>
    </row>
    <row r="33" spans="1:1" x14ac:dyDescent="0.25">
      <c r="A33" s="4">
        <f>A21-(I3*10)</f>
        <v>6.8000000000000007</v>
      </c>
    </row>
    <row r="34" spans="1:1" x14ac:dyDescent="0.25">
      <c r="A34" s="3">
        <v>62</v>
      </c>
    </row>
    <row r="35" spans="1:1" x14ac:dyDescent="0.25">
      <c r="A35" s="3">
        <v>6</v>
      </c>
    </row>
    <row r="36" spans="1:1" x14ac:dyDescent="0.25">
      <c r="A36" s="3">
        <v>6</v>
      </c>
    </row>
    <row r="37" spans="1:1" x14ac:dyDescent="0.25">
      <c r="A37" s="3" t="s">
        <v>23</v>
      </c>
    </row>
    <row r="38" spans="1:1" x14ac:dyDescent="0.25">
      <c r="A38" s="3">
        <v>49</v>
      </c>
    </row>
    <row r="39" spans="1:1" x14ac:dyDescent="0.25">
      <c r="A39" s="4">
        <f>-(D3/2)</f>
        <v>-25</v>
      </c>
    </row>
    <row r="40" spans="1:1" x14ac:dyDescent="0.25">
      <c r="A40" s="3">
        <v>62</v>
      </c>
    </row>
    <row r="41" spans="1:1" x14ac:dyDescent="0.25">
      <c r="A41" s="3">
        <v>2</v>
      </c>
    </row>
    <row r="42" spans="1:1" x14ac:dyDescent="0.25">
      <c r="A42" s="3">
        <v>6</v>
      </c>
    </row>
    <row r="43" spans="1:1" x14ac:dyDescent="0.25">
      <c r="A43" s="3" t="s">
        <v>21</v>
      </c>
    </row>
    <row r="44" spans="1:1" x14ac:dyDescent="0.25">
      <c r="A44" s="3">
        <v>0</v>
      </c>
    </row>
    <row r="45" spans="1:1" x14ac:dyDescent="0.25">
      <c r="A45" s="3" t="s">
        <v>19</v>
      </c>
    </row>
    <row r="46" spans="1:1" x14ac:dyDescent="0.25">
      <c r="A46" s="3">
        <v>2</v>
      </c>
    </row>
    <row r="47" spans="1:1" x14ac:dyDescent="0.25">
      <c r="A47" s="3" t="str">
        <f>"AZT_PL_WID_B_W_"&amp;A3</f>
        <v>AZT_PL_WID_B_W_UPE80</v>
      </c>
    </row>
    <row r="48" spans="1:1" x14ac:dyDescent="0.25">
      <c r="A48" s="3">
        <v>70</v>
      </c>
    </row>
    <row r="49" spans="1:1" x14ac:dyDescent="0.25">
      <c r="A49" s="3">
        <v>0</v>
      </c>
    </row>
    <row r="50" spans="1:1" x14ac:dyDescent="0.25">
      <c r="A50" s="3">
        <v>3</v>
      </c>
    </row>
    <row r="51" spans="1:1" x14ac:dyDescent="0.25">
      <c r="A51" s="3" t="s">
        <v>20</v>
      </c>
    </row>
    <row r="52" spans="1:1" x14ac:dyDescent="0.25">
      <c r="A52" s="3">
        <v>62</v>
      </c>
    </row>
    <row r="53" spans="1:1" x14ac:dyDescent="0.25">
      <c r="A53" s="3">
        <v>256</v>
      </c>
    </row>
    <row r="54" spans="1:1" x14ac:dyDescent="0.25">
      <c r="A54" s="3">
        <v>51</v>
      </c>
    </row>
    <row r="55" spans="1:1" x14ac:dyDescent="0.25">
      <c r="A55" s="3">
        <v>90</v>
      </c>
    </row>
    <row r="56" spans="1:1" x14ac:dyDescent="0.25">
      <c r="A56" s="3">
        <v>52</v>
      </c>
    </row>
    <row r="57" spans="1:1" x14ac:dyDescent="0.25">
      <c r="A57" s="3">
        <v>90</v>
      </c>
    </row>
    <row r="58" spans="1:1" x14ac:dyDescent="0.25">
      <c r="A58" s="3">
        <v>71</v>
      </c>
    </row>
    <row r="59" spans="1:1" x14ac:dyDescent="0.25">
      <c r="A59" s="3">
        <v>5</v>
      </c>
    </row>
    <row r="60" spans="1:1" x14ac:dyDescent="0.25">
      <c r="A60" s="3">
        <v>49</v>
      </c>
    </row>
    <row r="61" spans="1:1" x14ac:dyDescent="0.25">
      <c r="A61" s="4">
        <f>C3/2</f>
        <v>40</v>
      </c>
    </row>
    <row r="62" spans="1:1" x14ac:dyDescent="0.25">
      <c r="A62" s="3">
        <v>62</v>
      </c>
    </row>
    <row r="63" spans="1:1" x14ac:dyDescent="0.25">
      <c r="A63" s="3">
        <v>2</v>
      </c>
    </row>
    <row r="64" spans="1:1" x14ac:dyDescent="0.25">
      <c r="A64" s="3">
        <v>6</v>
      </c>
    </row>
    <row r="65" spans="1:1" x14ac:dyDescent="0.25">
      <c r="A65" s="3" t="s">
        <v>21</v>
      </c>
    </row>
    <row r="66" spans="1:1" x14ac:dyDescent="0.25">
      <c r="A66" s="3">
        <v>49</v>
      </c>
    </row>
    <row r="67" spans="1:1" x14ac:dyDescent="0.25">
      <c r="A67" s="4">
        <f>A61-F3</f>
        <v>33</v>
      </c>
    </row>
    <row r="68" spans="1:1" x14ac:dyDescent="0.25">
      <c r="A68" s="3">
        <v>62</v>
      </c>
    </row>
    <row r="69" spans="1:1" x14ac:dyDescent="0.25">
      <c r="A69" s="3">
        <v>2</v>
      </c>
    </row>
    <row r="70" spans="1:1" x14ac:dyDescent="0.25">
      <c r="A70" s="3">
        <v>6</v>
      </c>
    </row>
    <row r="71" spans="1:1" x14ac:dyDescent="0.25">
      <c r="A71" s="3" t="s">
        <v>21</v>
      </c>
    </row>
    <row r="72" spans="1:1" x14ac:dyDescent="0.25">
      <c r="A72" s="3">
        <v>49</v>
      </c>
    </row>
    <row r="73" spans="1:1" x14ac:dyDescent="0.25">
      <c r="A73" s="3">
        <v>0</v>
      </c>
    </row>
    <row r="74" spans="1:1" x14ac:dyDescent="0.25">
      <c r="A74" s="3">
        <v>62</v>
      </c>
    </row>
    <row r="75" spans="1:1" x14ac:dyDescent="0.25">
      <c r="A75" s="3">
        <v>6</v>
      </c>
    </row>
    <row r="76" spans="1:1" x14ac:dyDescent="0.25">
      <c r="A76" s="3">
        <v>6</v>
      </c>
    </row>
    <row r="77" spans="1:1" x14ac:dyDescent="0.25">
      <c r="A77" s="3" t="s">
        <v>23</v>
      </c>
    </row>
    <row r="78" spans="1:1" x14ac:dyDescent="0.25">
      <c r="A78" s="3">
        <v>49</v>
      </c>
    </row>
    <row r="79" spans="1:1" x14ac:dyDescent="0.25">
      <c r="A79" s="4">
        <f>A85+F3</f>
        <v>-33</v>
      </c>
    </row>
    <row r="80" spans="1:1" x14ac:dyDescent="0.25">
      <c r="A80" s="3">
        <v>62</v>
      </c>
    </row>
    <row r="81" spans="1:1" x14ac:dyDescent="0.25">
      <c r="A81" s="3">
        <v>2</v>
      </c>
    </row>
    <row r="82" spans="1:1" x14ac:dyDescent="0.25">
      <c r="A82" s="3">
        <v>6</v>
      </c>
    </row>
    <row r="83" spans="1:1" x14ac:dyDescent="0.25">
      <c r="A83" s="3" t="s">
        <v>21</v>
      </c>
    </row>
    <row r="84" spans="1:1" x14ac:dyDescent="0.25">
      <c r="A84" s="3">
        <v>49</v>
      </c>
    </row>
    <row r="85" spans="1:1" x14ac:dyDescent="0.25">
      <c r="A85" s="4">
        <f>-(C3/2)</f>
        <v>-40</v>
      </c>
    </row>
    <row r="86" spans="1:1" x14ac:dyDescent="0.25">
      <c r="A86" s="3">
        <v>62</v>
      </c>
    </row>
    <row r="87" spans="1:1" x14ac:dyDescent="0.25">
      <c r="A87" s="3">
        <v>2</v>
      </c>
    </row>
    <row r="88" spans="1:1" x14ac:dyDescent="0.25">
      <c r="A88" s="3">
        <v>6</v>
      </c>
    </row>
    <row r="89" spans="1:1" x14ac:dyDescent="0.25">
      <c r="A89" s="3" t="s">
        <v>21</v>
      </c>
    </row>
    <row r="90" spans="1:1" x14ac:dyDescent="0.25">
      <c r="A90" s="3">
        <v>0</v>
      </c>
    </row>
    <row r="91" spans="1:1" x14ac:dyDescent="0.25">
      <c r="A91" s="3" t="s">
        <v>19</v>
      </c>
    </row>
    <row r="92" spans="1:1" x14ac:dyDescent="0.25">
      <c r="A92" s="3">
        <v>2</v>
      </c>
    </row>
    <row r="93" spans="1:1" x14ac:dyDescent="0.25">
      <c r="A93" s="3" t="str">
        <f>"AZT_PL_WID_B_NW_"&amp;A3</f>
        <v>AZT_PL_WID_B_NW_UPE80</v>
      </c>
    </row>
    <row r="94" spans="1:1" x14ac:dyDescent="0.25">
      <c r="A94" s="3">
        <v>70</v>
      </c>
    </row>
    <row r="95" spans="1:1" x14ac:dyDescent="0.25">
      <c r="A95" s="3">
        <v>0</v>
      </c>
    </row>
    <row r="96" spans="1:1" x14ac:dyDescent="0.25">
      <c r="A96" s="3">
        <v>3</v>
      </c>
    </row>
    <row r="97" spans="1:1" x14ac:dyDescent="0.25">
      <c r="A97" s="3" t="s">
        <v>20</v>
      </c>
    </row>
    <row r="98" spans="1:1" x14ac:dyDescent="0.25">
      <c r="A98" s="3">
        <v>62</v>
      </c>
    </row>
    <row r="99" spans="1:1" x14ac:dyDescent="0.25">
      <c r="A99" s="3">
        <v>256</v>
      </c>
    </row>
    <row r="100" spans="1:1" x14ac:dyDescent="0.25">
      <c r="A100" s="3">
        <v>51</v>
      </c>
    </row>
    <row r="101" spans="1:1" x14ac:dyDescent="0.25">
      <c r="A101" s="3">
        <v>90</v>
      </c>
    </row>
    <row r="102" spans="1:1" x14ac:dyDescent="0.25">
      <c r="A102" s="3">
        <v>52</v>
      </c>
    </row>
    <row r="103" spans="1:1" x14ac:dyDescent="0.25">
      <c r="A103" s="3">
        <v>90</v>
      </c>
    </row>
    <row r="104" spans="1:1" x14ac:dyDescent="0.25">
      <c r="A104" s="3">
        <v>71</v>
      </c>
    </row>
    <row r="105" spans="1:1" x14ac:dyDescent="0.25">
      <c r="A105" s="3">
        <v>5</v>
      </c>
    </row>
    <row r="106" spans="1:1" x14ac:dyDescent="0.25">
      <c r="A106" s="3">
        <v>49</v>
      </c>
    </row>
    <row r="107" spans="1:1" x14ac:dyDescent="0.25">
      <c r="A107" s="4">
        <f>C3/2</f>
        <v>40</v>
      </c>
    </row>
    <row r="108" spans="1:1" x14ac:dyDescent="0.25">
      <c r="A108" s="3">
        <v>62</v>
      </c>
    </row>
    <row r="109" spans="1:1" x14ac:dyDescent="0.25">
      <c r="A109" s="3">
        <v>2</v>
      </c>
    </row>
    <row r="110" spans="1:1" x14ac:dyDescent="0.25">
      <c r="A110" s="3">
        <v>6</v>
      </c>
    </row>
    <row r="111" spans="1:1" x14ac:dyDescent="0.25">
      <c r="A111" s="3" t="s">
        <v>21</v>
      </c>
    </row>
    <row r="112" spans="1:1" x14ac:dyDescent="0.25">
      <c r="A112" s="3">
        <v>49</v>
      </c>
    </row>
    <row r="113" spans="1:1" x14ac:dyDescent="0.25">
      <c r="A113" s="4">
        <f>A107-F3</f>
        <v>33</v>
      </c>
    </row>
    <row r="114" spans="1:1" x14ac:dyDescent="0.25">
      <c r="A114" s="3">
        <v>62</v>
      </c>
    </row>
    <row r="115" spans="1:1" x14ac:dyDescent="0.25">
      <c r="A115" s="3">
        <v>4</v>
      </c>
    </row>
    <row r="116" spans="1:1" x14ac:dyDescent="0.25">
      <c r="A116" s="3">
        <v>6</v>
      </c>
    </row>
    <row r="117" spans="1:1" x14ac:dyDescent="0.25">
      <c r="A117" s="3" t="s">
        <v>22</v>
      </c>
    </row>
    <row r="118" spans="1:1" x14ac:dyDescent="0.25">
      <c r="A118" s="3">
        <v>49</v>
      </c>
    </row>
    <row r="119" spans="1:1" x14ac:dyDescent="0.25">
      <c r="A119" s="3">
        <v>0</v>
      </c>
    </row>
    <row r="120" spans="1:1" x14ac:dyDescent="0.25">
      <c r="A120" s="3">
        <v>62</v>
      </c>
    </row>
    <row r="121" spans="1:1" x14ac:dyDescent="0.25">
      <c r="A121" s="3">
        <v>6</v>
      </c>
    </row>
    <row r="122" spans="1:1" x14ac:dyDescent="0.25">
      <c r="A122" s="3">
        <v>6</v>
      </c>
    </row>
    <row r="123" spans="1:1" x14ac:dyDescent="0.25">
      <c r="A123" s="3" t="s">
        <v>23</v>
      </c>
    </row>
    <row r="124" spans="1:1" x14ac:dyDescent="0.25">
      <c r="A124" s="3">
        <v>49</v>
      </c>
    </row>
    <row r="125" spans="1:1" x14ac:dyDescent="0.25">
      <c r="A125" s="4">
        <f>A131+F3</f>
        <v>-33</v>
      </c>
    </row>
    <row r="126" spans="1:1" x14ac:dyDescent="0.25">
      <c r="A126" s="3">
        <v>62</v>
      </c>
    </row>
    <row r="127" spans="1:1" x14ac:dyDescent="0.25">
      <c r="A127" s="3">
        <v>4</v>
      </c>
    </row>
    <row r="128" spans="1:1" x14ac:dyDescent="0.25">
      <c r="A128" s="3">
        <v>6</v>
      </c>
    </row>
    <row r="129" spans="1:1" x14ac:dyDescent="0.25">
      <c r="A129" s="3" t="s">
        <v>22</v>
      </c>
    </row>
    <row r="130" spans="1:1" x14ac:dyDescent="0.25">
      <c r="A130" s="3">
        <v>49</v>
      </c>
    </row>
    <row r="131" spans="1:1" x14ac:dyDescent="0.25">
      <c r="A131" s="4">
        <f>-(C3/2)</f>
        <v>-40</v>
      </c>
    </row>
    <row r="132" spans="1:1" x14ac:dyDescent="0.25">
      <c r="A132" s="3">
        <v>62</v>
      </c>
    </row>
    <row r="133" spans="1:1" x14ac:dyDescent="0.25">
      <c r="A133" s="3">
        <v>2</v>
      </c>
    </row>
    <row r="134" spans="1:1" x14ac:dyDescent="0.25">
      <c r="A134" s="3">
        <v>6</v>
      </c>
    </row>
    <row r="135" spans="1:1" x14ac:dyDescent="0.25">
      <c r="A135" s="3" t="s">
        <v>21</v>
      </c>
    </row>
    <row r="136" spans="1:1" x14ac:dyDescent="0.25">
      <c r="A136" s="3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BAZA_MONOSYMETRYCZNY!$A$1:$A$14</xm:f>
          </x14:formula1>
          <xm:sqref>A3:B3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H142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1" t="s">
        <v>11</v>
      </c>
      <c r="B1" s="1"/>
      <c r="C1" s="2" t="s">
        <v>12</v>
      </c>
      <c r="D1" s="2" t="s">
        <v>13</v>
      </c>
      <c r="E1" s="2" t="s">
        <v>27</v>
      </c>
      <c r="F1" s="2" t="s">
        <v>28</v>
      </c>
      <c r="G1" s="2" t="s">
        <v>29</v>
      </c>
      <c r="H1" s="2" t="s">
        <v>2</v>
      </c>
    </row>
    <row r="2" spans="1:8" x14ac:dyDescent="0.25">
      <c r="A2" s="1"/>
      <c r="B2" s="1"/>
      <c r="C2" s="2" t="s">
        <v>17</v>
      </c>
      <c r="D2" s="2" t="s">
        <v>17</v>
      </c>
      <c r="E2" s="2" t="s">
        <v>17</v>
      </c>
      <c r="F2" s="2" t="s">
        <v>17</v>
      </c>
      <c r="G2" s="2" t="s">
        <v>17</v>
      </c>
      <c r="H2" s="2" t="s">
        <v>18</v>
      </c>
    </row>
    <row r="3" spans="1:8" x14ac:dyDescent="0.25">
      <c r="A3" s="7" t="s">
        <v>30</v>
      </c>
      <c r="B3" s="7"/>
      <c r="C3" s="6">
        <f>INDEX(BAZA_RUR!$C$1:$C$268,MATCH($A$3,BAZA_RUR!$A$1:$A$268,0))</f>
        <v>20</v>
      </c>
      <c r="D3" s="6">
        <f>INDEX(BAZA_RUR!$D$1:$D$268,MATCH($A$3,BAZA_RUR!$A$1:$A$268,0))</f>
        <v>20</v>
      </c>
      <c r="E3" s="6">
        <f>INDEX(BAZA_RUR!$E$1:$E$268,MATCH($A$3,BAZA_RUR!$A$1:$A$268,0))</f>
        <v>2</v>
      </c>
      <c r="F3" s="6">
        <f>INDEX(BAZA_RUR!$F$1:$F$268,MATCH($A$3,BAZA_RUR!$A$1:$A$268,0))</f>
        <v>3</v>
      </c>
      <c r="G3" s="6">
        <f>INDEX(BAZA_RUR!$G$1:$G$268,MATCH($A$3,BAZA_RUR!$A$1:$A$268,0))</f>
        <v>2</v>
      </c>
      <c r="H3" s="6">
        <f>INDEX(BAZA_RUR!$H$1:$H$268,MATCH($A$3,BAZA_RUR!$A$1:$A$268,0))</f>
        <v>1.4</v>
      </c>
    </row>
    <row r="4" spans="1:8" x14ac:dyDescent="0.25">
      <c r="A4" s="5" t="str">
        <f>A3</f>
        <v>RHS20X20X2</v>
      </c>
    </row>
    <row r="5" spans="1:8" x14ac:dyDescent="0.25">
      <c r="A5" s="3" t="s">
        <v>19</v>
      </c>
    </row>
    <row r="6" spans="1:8" x14ac:dyDescent="0.25">
      <c r="A6" s="3">
        <v>2</v>
      </c>
    </row>
    <row r="7" spans="1:8" x14ac:dyDescent="0.25">
      <c r="A7" s="3" t="str">
        <f>"AZT_PL_WID_G_"&amp;A3</f>
        <v>AZT_PL_WID_G_RHS20X20X2</v>
      </c>
    </row>
    <row r="8" spans="1:8" x14ac:dyDescent="0.25">
      <c r="A8" s="3">
        <v>70</v>
      </c>
    </row>
    <row r="9" spans="1:8" x14ac:dyDescent="0.25">
      <c r="A9" s="3">
        <v>0</v>
      </c>
    </row>
    <row r="10" spans="1:8" x14ac:dyDescent="0.25">
      <c r="A10" s="3">
        <v>3</v>
      </c>
    </row>
    <row r="11" spans="1:8" x14ac:dyDescent="0.25">
      <c r="A11" s="3" t="s">
        <v>20</v>
      </c>
    </row>
    <row r="12" spans="1:8" x14ac:dyDescent="0.25">
      <c r="A12" s="3">
        <v>62</v>
      </c>
    </row>
    <row r="13" spans="1:8" x14ac:dyDescent="0.25">
      <c r="A13" s="3">
        <v>256</v>
      </c>
    </row>
    <row r="14" spans="1:8" x14ac:dyDescent="0.25">
      <c r="A14" s="3">
        <v>51</v>
      </c>
    </row>
    <row r="15" spans="1:8" x14ac:dyDescent="0.25">
      <c r="A15" s="3">
        <v>90</v>
      </c>
    </row>
    <row r="16" spans="1:8" x14ac:dyDescent="0.25">
      <c r="A16" s="3">
        <v>52</v>
      </c>
    </row>
    <row r="17" spans="1:1" x14ac:dyDescent="0.25">
      <c r="A17" s="3">
        <v>90</v>
      </c>
    </row>
    <row r="18" spans="1:1" x14ac:dyDescent="0.25">
      <c r="A18" s="3">
        <v>71</v>
      </c>
    </row>
    <row r="19" spans="1:1" x14ac:dyDescent="0.25">
      <c r="A19" s="3">
        <v>5</v>
      </c>
    </row>
    <row r="20" spans="1:1" x14ac:dyDescent="0.25">
      <c r="A20" s="3">
        <v>49</v>
      </c>
    </row>
    <row r="21" spans="1:1" x14ac:dyDescent="0.25">
      <c r="A21" s="4">
        <f>D3/2</f>
        <v>10</v>
      </c>
    </row>
    <row r="22" spans="1:1" x14ac:dyDescent="0.25">
      <c r="A22" s="3">
        <v>62</v>
      </c>
    </row>
    <row r="23" spans="1:1" x14ac:dyDescent="0.25">
      <c r="A23" s="3">
        <v>2</v>
      </c>
    </row>
    <row r="24" spans="1:1" x14ac:dyDescent="0.25">
      <c r="A24" s="3">
        <v>6</v>
      </c>
    </row>
    <row r="25" spans="1:1" x14ac:dyDescent="0.25">
      <c r="A25" s="3" t="s">
        <v>21</v>
      </c>
    </row>
    <row r="26" spans="1:1" x14ac:dyDescent="0.25">
      <c r="A26" s="3">
        <v>49</v>
      </c>
    </row>
    <row r="27" spans="1:1" x14ac:dyDescent="0.25">
      <c r="A27" s="4">
        <f>A21-E3</f>
        <v>8</v>
      </c>
    </row>
    <row r="28" spans="1:1" x14ac:dyDescent="0.25">
      <c r="A28" s="3">
        <v>62</v>
      </c>
    </row>
    <row r="29" spans="1:1" x14ac:dyDescent="0.25">
      <c r="A29" s="3">
        <v>4</v>
      </c>
    </row>
    <row r="30" spans="1:1" x14ac:dyDescent="0.25">
      <c r="A30" s="3">
        <v>6</v>
      </c>
    </row>
    <row r="31" spans="1:1" x14ac:dyDescent="0.25">
      <c r="A31" s="3" t="s">
        <v>22</v>
      </c>
    </row>
    <row r="32" spans="1:1" x14ac:dyDescent="0.25">
      <c r="A32" s="3">
        <v>49</v>
      </c>
    </row>
    <row r="33" spans="1:1" x14ac:dyDescent="0.25">
      <c r="A33" s="3">
        <v>0</v>
      </c>
    </row>
    <row r="34" spans="1:1" x14ac:dyDescent="0.25">
      <c r="A34" s="3">
        <v>62</v>
      </c>
    </row>
    <row r="35" spans="1:1" x14ac:dyDescent="0.25">
      <c r="A35" s="3">
        <v>6</v>
      </c>
    </row>
    <row r="36" spans="1:1" x14ac:dyDescent="0.25">
      <c r="A36" s="3">
        <v>6</v>
      </c>
    </row>
    <row r="37" spans="1:1" x14ac:dyDescent="0.25">
      <c r="A37" s="3" t="s">
        <v>23</v>
      </c>
    </row>
    <row r="38" spans="1:1" x14ac:dyDescent="0.25">
      <c r="A38" s="3">
        <v>49</v>
      </c>
    </row>
    <row r="39" spans="1:1" x14ac:dyDescent="0.25">
      <c r="A39" s="4">
        <f>A45+E3</f>
        <v>-8</v>
      </c>
    </row>
    <row r="40" spans="1:1" x14ac:dyDescent="0.25">
      <c r="A40" s="3">
        <v>62</v>
      </c>
    </row>
    <row r="41" spans="1:1" x14ac:dyDescent="0.25">
      <c r="A41" s="3">
        <v>4</v>
      </c>
    </row>
    <row r="42" spans="1:1" x14ac:dyDescent="0.25">
      <c r="A42" s="3">
        <v>6</v>
      </c>
    </row>
    <row r="43" spans="1:1" x14ac:dyDescent="0.25">
      <c r="A43" s="3" t="s">
        <v>22</v>
      </c>
    </row>
    <row r="44" spans="1:1" x14ac:dyDescent="0.25">
      <c r="A44" s="3">
        <v>49</v>
      </c>
    </row>
    <row r="45" spans="1:1" x14ac:dyDescent="0.25">
      <c r="A45" s="4">
        <f>-(D3/2)</f>
        <v>-10</v>
      </c>
    </row>
    <row r="46" spans="1:1" x14ac:dyDescent="0.25">
      <c r="A46" s="3">
        <v>62</v>
      </c>
    </row>
    <row r="47" spans="1:1" x14ac:dyDescent="0.25">
      <c r="A47" s="3">
        <v>2</v>
      </c>
    </row>
    <row r="48" spans="1:1" x14ac:dyDescent="0.25">
      <c r="A48" s="3">
        <v>6</v>
      </c>
    </row>
    <row r="49" spans="1:1" x14ac:dyDescent="0.25">
      <c r="A49" s="3" t="s">
        <v>21</v>
      </c>
    </row>
    <row r="50" spans="1:1" x14ac:dyDescent="0.25">
      <c r="A50" s="3">
        <v>0</v>
      </c>
    </row>
    <row r="51" spans="1:1" x14ac:dyDescent="0.25">
      <c r="A51" s="3" t="s">
        <v>19</v>
      </c>
    </row>
    <row r="52" spans="1:1" x14ac:dyDescent="0.25">
      <c r="A52" s="3">
        <v>2</v>
      </c>
    </row>
    <row r="53" spans="1:1" x14ac:dyDescent="0.25">
      <c r="A53" s="3" t="str">
        <f>"AZT_PL_WID_B_W_"&amp;A3</f>
        <v>AZT_PL_WID_B_W_RHS20X20X2</v>
      </c>
    </row>
    <row r="54" spans="1:1" x14ac:dyDescent="0.25">
      <c r="A54" s="3">
        <v>70</v>
      </c>
    </row>
    <row r="55" spans="1:1" x14ac:dyDescent="0.25">
      <c r="A55" s="3">
        <v>0</v>
      </c>
    </row>
    <row r="56" spans="1:1" x14ac:dyDescent="0.25">
      <c r="A56" s="3">
        <v>3</v>
      </c>
    </row>
    <row r="57" spans="1:1" x14ac:dyDescent="0.25">
      <c r="A57" s="3" t="s">
        <v>20</v>
      </c>
    </row>
    <row r="58" spans="1:1" x14ac:dyDescent="0.25">
      <c r="A58" s="3">
        <v>62</v>
      </c>
    </row>
    <row r="59" spans="1:1" x14ac:dyDescent="0.25">
      <c r="A59" s="3">
        <v>256</v>
      </c>
    </row>
    <row r="60" spans="1:1" x14ac:dyDescent="0.25">
      <c r="A60" s="3">
        <v>51</v>
      </c>
    </row>
    <row r="61" spans="1:1" x14ac:dyDescent="0.25">
      <c r="A61" s="3">
        <v>90</v>
      </c>
    </row>
    <row r="62" spans="1:1" x14ac:dyDescent="0.25">
      <c r="A62" s="3">
        <v>52</v>
      </c>
    </row>
    <row r="63" spans="1:1" x14ac:dyDescent="0.25">
      <c r="A63" s="3">
        <v>90</v>
      </c>
    </row>
    <row r="64" spans="1:1" x14ac:dyDescent="0.25">
      <c r="A64" s="3">
        <v>71</v>
      </c>
    </row>
    <row r="65" spans="1:1" x14ac:dyDescent="0.25">
      <c r="A65" s="3">
        <v>5</v>
      </c>
    </row>
    <row r="66" spans="1:1" x14ac:dyDescent="0.25">
      <c r="A66" s="3">
        <v>49</v>
      </c>
    </row>
    <row r="67" spans="1:1" x14ac:dyDescent="0.25">
      <c r="A67" s="4">
        <f>C3/2</f>
        <v>10</v>
      </c>
    </row>
    <row r="68" spans="1:1" x14ac:dyDescent="0.25">
      <c r="A68" s="3">
        <v>62</v>
      </c>
    </row>
    <row r="69" spans="1:1" x14ac:dyDescent="0.25">
      <c r="A69" s="3">
        <v>2</v>
      </c>
    </row>
    <row r="70" spans="1:1" x14ac:dyDescent="0.25">
      <c r="A70" s="3">
        <v>6</v>
      </c>
    </row>
    <row r="71" spans="1:1" x14ac:dyDescent="0.25">
      <c r="A71" s="3" t="s">
        <v>21</v>
      </c>
    </row>
    <row r="72" spans="1:1" x14ac:dyDescent="0.25">
      <c r="A72" s="3">
        <v>49</v>
      </c>
    </row>
    <row r="73" spans="1:1" x14ac:dyDescent="0.25">
      <c r="A73" s="4">
        <f>A67-E3</f>
        <v>8</v>
      </c>
    </row>
    <row r="74" spans="1:1" x14ac:dyDescent="0.25">
      <c r="A74" s="3">
        <v>62</v>
      </c>
    </row>
    <row r="75" spans="1:1" x14ac:dyDescent="0.25">
      <c r="A75" s="3">
        <v>4</v>
      </c>
    </row>
    <row r="76" spans="1:1" x14ac:dyDescent="0.25">
      <c r="A76" s="3">
        <v>6</v>
      </c>
    </row>
    <row r="77" spans="1:1" x14ac:dyDescent="0.25">
      <c r="A77" s="3" t="s">
        <v>22</v>
      </c>
    </row>
    <row r="78" spans="1:1" x14ac:dyDescent="0.25">
      <c r="A78" s="3">
        <v>49</v>
      </c>
    </row>
    <row r="79" spans="1:1" x14ac:dyDescent="0.25">
      <c r="A79" s="3">
        <v>0</v>
      </c>
    </row>
    <row r="80" spans="1:1" x14ac:dyDescent="0.25">
      <c r="A80" s="3">
        <v>62</v>
      </c>
    </row>
    <row r="81" spans="1:1" x14ac:dyDescent="0.25">
      <c r="A81" s="3">
        <v>6</v>
      </c>
    </row>
    <row r="82" spans="1:1" x14ac:dyDescent="0.25">
      <c r="A82" s="3">
        <v>6</v>
      </c>
    </row>
    <row r="83" spans="1:1" x14ac:dyDescent="0.25">
      <c r="A83" s="3" t="s">
        <v>23</v>
      </c>
    </row>
    <row r="84" spans="1:1" x14ac:dyDescent="0.25">
      <c r="A84" s="3">
        <v>49</v>
      </c>
    </row>
    <row r="85" spans="1:1" x14ac:dyDescent="0.25">
      <c r="A85" s="4">
        <f>A91+E3</f>
        <v>-8</v>
      </c>
    </row>
    <row r="86" spans="1:1" x14ac:dyDescent="0.25">
      <c r="A86" s="3">
        <v>62</v>
      </c>
    </row>
    <row r="87" spans="1:1" x14ac:dyDescent="0.25">
      <c r="A87" s="3">
        <v>4</v>
      </c>
    </row>
    <row r="88" spans="1:1" x14ac:dyDescent="0.25">
      <c r="A88" s="3">
        <v>6</v>
      </c>
    </row>
    <row r="89" spans="1:1" x14ac:dyDescent="0.25">
      <c r="A89" s="3" t="s">
        <v>22</v>
      </c>
    </row>
    <row r="90" spans="1:1" x14ac:dyDescent="0.25">
      <c r="A90" s="3">
        <v>49</v>
      </c>
    </row>
    <row r="91" spans="1:1" x14ac:dyDescent="0.25">
      <c r="A91" s="4">
        <f>-(C3/2)</f>
        <v>-10</v>
      </c>
    </row>
    <row r="92" spans="1:1" x14ac:dyDescent="0.25">
      <c r="A92" s="3">
        <v>62</v>
      </c>
    </row>
    <row r="93" spans="1:1" x14ac:dyDescent="0.25">
      <c r="A93" s="3">
        <v>2</v>
      </c>
    </row>
    <row r="94" spans="1:1" x14ac:dyDescent="0.25">
      <c r="A94" s="3">
        <v>6</v>
      </c>
    </row>
    <row r="95" spans="1:1" x14ac:dyDescent="0.25">
      <c r="A95" s="3" t="s">
        <v>21</v>
      </c>
    </row>
    <row r="96" spans="1:1" x14ac:dyDescent="0.25">
      <c r="A96" s="3">
        <v>0</v>
      </c>
    </row>
    <row r="97" spans="1:1" x14ac:dyDescent="0.25">
      <c r="A97" s="3" t="s">
        <v>19</v>
      </c>
    </row>
    <row r="98" spans="1:1" x14ac:dyDescent="0.25">
      <c r="A98" s="3">
        <v>2</v>
      </c>
    </row>
    <row r="99" spans="1:1" x14ac:dyDescent="0.25">
      <c r="A99" s="3" t="str">
        <f>"AZT_PL_WID_B_NW_"&amp;A3</f>
        <v>AZT_PL_WID_B_NW_RHS20X20X2</v>
      </c>
    </row>
    <row r="100" spans="1:1" x14ac:dyDescent="0.25">
      <c r="A100" s="3">
        <v>70</v>
      </c>
    </row>
    <row r="101" spans="1:1" x14ac:dyDescent="0.25">
      <c r="A101" s="3">
        <v>0</v>
      </c>
    </row>
    <row r="102" spans="1:1" x14ac:dyDescent="0.25">
      <c r="A102" s="3">
        <v>3</v>
      </c>
    </row>
    <row r="103" spans="1:1" x14ac:dyDescent="0.25">
      <c r="A103" s="3" t="s">
        <v>20</v>
      </c>
    </row>
    <row r="104" spans="1:1" x14ac:dyDescent="0.25">
      <c r="A104" s="3">
        <v>62</v>
      </c>
    </row>
    <row r="105" spans="1:1" x14ac:dyDescent="0.25">
      <c r="A105" s="3">
        <v>256</v>
      </c>
    </row>
    <row r="106" spans="1:1" x14ac:dyDescent="0.25">
      <c r="A106" s="3">
        <v>51</v>
      </c>
    </row>
    <row r="107" spans="1:1" x14ac:dyDescent="0.25">
      <c r="A107" s="3">
        <v>90</v>
      </c>
    </row>
    <row r="108" spans="1:1" x14ac:dyDescent="0.25">
      <c r="A108" s="3">
        <v>52</v>
      </c>
    </row>
    <row r="109" spans="1:1" x14ac:dyDescent="0.25">
      <c r="A109" s="3">
        <v>90</v>
      </c>
    </row>
    <row r="110" spans="1:1" x14ac:dyDescent="0.25">
      <c r="A110" s="3">
        <v>71</v>
      </c>
    </row>
    <row r="111" spans="1:1" x14ac:dyDescent="0.25">
      <c r="A111" s="3">
        <v>5</v>
      </c>
    </row>
    <row r="112" spans="1:1" x14ac:dyDescent="0.25">
      <c r="A112" s="3">
        <v>49</v>
      </c>
    </row>
    <row r="113" spans="1:1" x14ac:dyDescent="0.25">
      <c r="A113" s="4">
        <f>C3/2</f>
        <v>10</v>
      </c>
    </row>
    <row r="114" spans="1:1" x14ac:dyDescent="0.25">
      <c r="A114" s="3">
        <v>62</v>
      </c>
    </row>
    <row r="115" spans="1:1" x14ac:dyDescent="0.25">
      <c r="A115" s="3">
        <v>2</v>
      </c>
    </row>
    <row r="116" spans="1:1" x14ac:dyDescent="0.25">
      <c r="A116" s="3">
        <v>6</v>
      </c>
    </row>
    <row r="117" spans="1:1" x14ac:dyDescent="0.25">
      <c r="A117" s="3" t="s">
        <v>21</v>
      </c>
    </row>
    <row r="118" spans="1:1" x14ac:dyDescent="0.25">
      <c r="A118" s="3">
        <v>49</v>
      </c>
    </row>
    <row r="119" spans="1:1" x14ac:dyDescent="0.25">
      <c r="A119" s="4">
        <f>A113-E3</f>
        <v>8</v>
      </c>
    </row>
    <row r="120" spans="1:1" x14ac:dyDescent="0.25">
      <c r="A120" s="3">
        <v>62</v>
      </c>
    </row>
    <row r="121" spans="1:1" x14ac:dyDescent="0.25">
      <c r="A121" s="3">
        <v>4</v>
      </c>
    </row>
    <row r="122" spans="1:1" x14ac:dyDescent="0.25">
      <c r="A122" s="3">
        <v>6</v>
      </c>
    </row>
    <row r="123" spans="1:1" x14ac:dyDescent="0.25">
      <c r="A123" s="3" t="s">
        <v>22</v>
      </c>
    </row>
    <row r="124" spans="1:1" x14ac:dyDescent="0.25">
      <c r="A124" s="3">
        <v>49</v>
      </c>
    </row>
    <row r="125" spans="1:1" x14ac:dyDescent="0.25">
      <c r="A125" s="3">
        <v>0</v>
      </c>
    </row>
    <row r="126" spans="1:1" x14ac:dyDescent="0.25">
      <c r="A126" s="3">
        <v>62</v>
      </c>
    </row>
    <row r="127" spans="1:1" x14ac:dyDescent="0.25">
      <c r="A127" s="3">
        <v>6</v>
      </c>
    </row>
    <row r="128" spans="1:1" x14ac:dyDescent="0.25">
      <c r="A128" s="3">
        <v>6</v>
      </c>
    </row>
    <row r="129" spans="1:1" x14ac:dyDescent="0.25">
      <c r="A129" s="3" t="s">
        <v>23</v>
      </c>
    </row>
    <row r="130" spans="1:1" x14ac:dyDescent="0.25">
      <c r="A130" s="3">
        <v>49</v>
      </c>
    </row>
    <row r="131" spans="1:1" x14ac:dyDescent="0.25">
      <c r="A131" s="4">
        <f>A137+E3</f>
        <v>-8</v>
      </c>
    </row>
    <row r="132" spans="1:1" x14ac:dyDescent="0.25">
      <c r="A132" s="3">
        <v>62</v>
      </c>
    </row>
    <row r="133" spans="1:1" x14ac:dyDescent="0.25">
      <c r="A133" s="3">
        <v>4</v>
      </c>
    </row>
    <row r="134" spans="1:1" x14ac:dyDescent="0.25">
      <c r="A134" s="3">
        <v>6</v>
      </c>
    </row>
    <row r="135" spans="1:1" x14ac:dyDescent="0.25">
      <c r="A135" s="3" t="s">
        <v>22</v>
      </c>
    </row>
    <row r="136" spans="1:1" x14ac:dyDescent="0.25">
      <c r="A136" s="3">
        <v>49</v>
      </c>
    </row>
    <row r="137" spans="1:1" x14ac:dyDescent="0.25">
      <c r="A137" s="4">
        <f>-(C3/2)</f>
        <v>-10</v>
      </c>
    </row>
    <row r="138" spans="1:1" x14ac:dyDescent="0.25">
      <c r="A138" s="3">
        <v>62</v>
      </c>
    </row>
    <row r="139" spans="1:1" x14ac:dyDescent="0.25">
      <c r="A139" s="3">
        <v>2</v>
      </c>
    </row>
    <row r="140" spans="1:1" x14ac:dyDescent="0.25">
      <c r="A140" s="3">
        <v>6</v>
      </c>
    </row>
    <row r="141" spans="1:1" x14ac:dyDescent="0.25">
      <c r="A141" s="3" t="s">
        <v>21</v>
      </c>
    </row>
    <row r="142" spans="1:1" x14ac:dyDescent="0.25">
      <c r="A142" s="3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BAZA_RUR!$A$1:$A$268</xm:f>
          </x14:formula1>
          <xm:sqref>A3:B3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/>
  <dimension ref="A1:J124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10" x14ac:dyDescent="0.25">
      <c r="A1" s="1" t="s">
        <v>11</v>
      </c>
      <c r="B1" s="1"/>
      <c r="C1" s="2" t="s">
        <v>12</v>
      </c>
      <c r="D1" s="2" t="s">
        <v>13</v>
      </c>
      <c r="E1" s="2" t="s">
        <v>27</v>
      </c>
      <c r="F1" s="2" t="s">
        <v>31</v>
      </c>
      <c r="G1" s="2" t="s">
        <v>32</v>
      </c>
      <c r="H1" s="2" t="s">
        <v>2</v>
      </c>
      <c r="I1" s="2" t="s">
        <v>33</v>
      </c>
      <c r="J1" s="2" t="s">
        <v>24</v>
      </c>
    </row>
    <row r="2" spans="1:10" x14ac:dyDescent="0.25">
      <c r="A2" s="1"/>
      <c r="B2" s="1"/>
      <c r="C2" s="2" t="s">
        <v>17</v>
      </c>
      <c r="D2" s="2" t="s">
        <v>17</v>
      </c>
      <c r="E2" s="2" t="s">
        <v>17</v>
      </c>
      <c r="F2" s="2" t="s">
        <v>17</v>
      </c>
      <c r="G2" s="2" t="s">
        <v>17</v>
      </c>
      <c r="H2" s="2" t="s">
        <v>18</v>
      </c>
      <c r="I2" s="2" t="s">
        <v>25</v>
      </c>
      <c r="J2" s="2" t="s">
        <v>25</v>
      </c>
    </row>
    <row r="3" spans="1:10" x14ac:dyDescent="0.25">
      <c r="A3" s="7" t="s">
        <v>34</v>
      </c>
      <c r="B3" s="7"/>
      <c r="C3" s="6">
        <f>INDEX(BAZA_KATOWNIKOW!$I$1:$I$136,MATCH($A$3,BAZA_KATOWNIKOW!$A$1:$A$136,0))</f>
        <v>20</v>
      </c>
      <c r="D3" s="6">
        <f>INDEX(BAZA_KATOWNIKOW!$J$1:$J$136,MATCH($A$3,BAZA_KATOWNIKOW!$A$1:$A$136,0))</f>
        <v>20</v>
      </c>
      <c r="E3" s="6">
        <f>INDEX(BAZA_KATOWNIKOW!$K$1:$K$136,MATCH($A$3,BAZA_KATOWNIKOW!$A$1:$A$136,0))</f>
        <v>3</v>
      </c>
      <c r="F3" s="6">
        <f>INDEX(BAZA_KATOWNIKOW!$L$1:$L$136,MATCH($A$3,BAZA_KATOWNIKOW!$A$1:$A$136,0))</f>
        <v>3.5</v>
      </c>
      <c r="G3" s="6">
        <f>INDEX(BAZA_KATOWNIKOW!$M$1:$M$136,MATCH($A$3,BAZA_KATOWNIKOW!$A$1:$A$136,0))</f>
        <v>2</v>
      </c>
      <c r="H3" s="6">
        <f>INDEX(BAZA_KATOWNIKOW!$N$1:$N$136,MATCH($A$3,BAZA_KATOWNIKOW!$A$1:$A$136,0))</f>
        <v>1.1200000000000001</v>
      </c>
      <c r="I3" s="6">
        <f>INDEX(BAZA_KATOWNIKOW!$O$1:$O$136,MATCH($A$3,BAZA_KATOWNIKOW!$A$1:$A$136,0))</f>
        <v>0.59599999999999997</v>
      </c>
      <c r="J3" s="6">
        <f>INDEX(BAZA_KATOWNIKOW!$P$1:$P$136,MATCH($A$3,BAZA_KATOWNIKOW!$A$1:$A$136,0))</f>
        <v>0.59599999999999997</v>
      </c>
    </row>
    <row r="4" spans="1:10" x14ac:dyDescent="0.25">
      <c r="A4" s="5" t="str">
        <f>A3</f>
        <v>L20X20X3</v>
      </c>
    </row>
    <row r="5" spans="1:10" x14ac:dyDescent="0.25">
      <c r="A5" s="3" t="s">
        <v>19</v>
      </c>
    </row>
    <row r="6" spans="1:10" x14ac:dyDescent="0.25">
      <c r="A6" s="3">
        <v>2</v>
      </c>
    </row>
    <row r="7" spans="1:10" x14ac:dyDescent="0.25">
      <c r="A7" s="3" t="str">
        <f>"AZT_PL_WID_G_"&amp;A3</f>
        <v>AZT_PL_WID_G_L20X20X3</v>
      </c>
    </row>
    <row r="8" spans="1:10" x14ac:dyDescent="0.25">
      <c r="A8" s="3">
        <v>70</v>
      </c>
    </row>
    <row r="9" spans="1:10" x14ac:dyDescent="0.25">
      <c r="A9" s="3">
        <v>0</v>
      </c>
    </row>
    <row r="10" spans="1:10" x14ac:dyDescent="0.25">
      <c r="A10" s="3">
        <v>3</v>
      </c>
    </row>
    <row r="11" spans="1:10" x14ac:dyDescent="0.25">
      <c r="A11" s="3" t="s">
        <v>20</v>
      </c>
    </row>
    <row r="12" spans="1:10" x14ac:dyDescent="0.25">
      <c r="A12" s="3">
        <v>62</v>
      </c>
    </row>
    <row r="13" spans="1:10" x14ac:dyDescent="0.25">
      <c r="A13" s="3">
        <v>256</v>
      </c>
    </row>
    <row r="14" spans="1:10" x14ac:dyDescent="0.25">
      <c r="A14" s="3">
        <v>51</v>
      </c>
    </row>
    <row r="15" spans="1:10" x14ac:dyDescent="0.25">
      <c r="A15" s="3">
        <v>90</v>
      </c>
    </row>
    <row r="16" spans="1:10" x14ac:dyDescent="0.25">
      <c r="A16" s="3">
        <v>52</v>
      </c>
    </row>
    <row r="17" spans="1:1" x14ac:dyDescent="0.25">
      <c r="A17" s="3">
        <v>90</v>
      </c>
    </row>
    <row r="18" spans="1:1" x14ac:dyDescent="0.25">
      <c r="A18" s="3">
        <v>71</v>
      </c>
    </row>
    <row r="19" spans="1:1" x14ac:dyDescent="0.25">
      <c r="A19" s="3">
        <v>4</v>
      </c>
    </row>
    <row r="20" spans="1:1" x14ac:dyDescent="0.25">
      <c r="A20" s="3">
        <v>49</v>
      </c>
    </row>
    <row r="21" spans="1:1" x14ac:dyDescent="0.25">
      <c r="A21" s="4">
        <f>D3/2</f>
        <v>10</v>
      </c>
    </row>
    <row r="22" spans="1:1" x14ac:dyDescent="0.25">
      <c r="A22" s="3">
        <v>62</v>
      </c>
    </row>
    <row r="23" spans="1:1" x14ac:dyDescent="0.25">
      <c r="A23" s="3">
        <v>2</v>
      </c>
    </row>
    <row r="24" spans="1:1" x14ac:dyDescent="0.25">
      <c r="A24" s="3">
        <v>6</v>
      </c>
    </row>
    <row r="25" spans="1:1" x14ac:dyDescent="0.25">
      <c r="A25" s="3" t="s">
        <v>21</v>
      </c>
    </row>
    <row r="26" spans="1:1" x14ac:dyDescent="0.25">
      <c r="A26" s="3">
        <v>49</v>
      </c>
    </row>
    <row r="27" spans="1:1" x14ac:dyDescent="0.25">
      <c r="A27" s="4">
        <f>A21-E3</f>
        <v>7</v>
      </c>
    </row>
    <row r="28" spans="1:1" x14ac:dyDescent="0.25">
      <c r="A28" s="3">
        <v>62</v>
      </c>
    </row>
    <row r="29" spans="1:1" x14ac:dyDescent="0.25">
      <c r="A29" s="3">
        <v>2</v>
      </c>
    </row>
    <row r="30" spans="1:1" x14ac:dyDescent="0.25">
      <c r="A30" s="3">
        <v>6</v>
      </c>
    </row>
    <row r="31" spans="1:1" x14ac:dyDescent="0.25">
      <c r="A31" s="3" t="s">
        <v>21</v>
      </c>
    </row>
    <row r="32" spans="1:1" x14ac:dyDescent="0.25">
      <c r="A32" s="3">
        <v>49</v>
      </c>
    </row>
    <row r="33" spans="1:1" x14ac:dyDescent="0.25">
      <c r="A33" s="4">
        <f>A21-(J3*10)</f>
        <v>4.04</v>
      </c>
    </row>
    <row r="34" spans="1:1" x14ac:dyDescent="0.25">
      <c r="A34" s="3">
        <v>62</v>
      </c>
    </row>
    <row r="35" spans="1:1" x14ac:dyDescent="0.25">
      <c r="A35" s="3">
        <v>6</v>
      </c>
    </row>
    <row r="36" spans="1:1" x14ac:dyDescent="0.25">
      <c r="A36" s="3">
        <v>6</v>
      </c>
    </row>
    <row r="37" spans="1:1" x14ac:dyDescent="0.25">
      <c r="A37" s="3" t="s">
        <v>23</v>
      </c>
    </row>
    <row r="38" spans="1:1" x14ac:dyDescent="0.25">
      <c r="A38" s="3">
        <v>49</v>
      </c>
    </row>
    <row r="39" spans="1:1" x14ac:dyDescent="0.25">
      <c r="A39" s="4">
        <f>-(D3/2)</f>
        <v>-10</v>
      </c>
    </row>
    <row r="40" spans="1:1" x14ac:dyDescent="0.25">
      <c r="A40" s="3">
        <v>62</v>
      </c>
    </row>
    <row r="41" spans="1:1" x14ac:dyDescent="0.25">
      <c r="A41" s="3">
        <v>2</v>
      </c>
    </row>
    <row r="42" spans="1:1" x14ac:dyDescent="0.25">
      <c r="A42" s="3">
        <v>6</v>
      </c>
    </row>
    <row r="43" spans="1:1" x14ac:dyDescent="0.25">
      <c r="A43" s="3" t="s">
        <v>21</v>
      </c>
    </row>
    <row r="44" spans="1:1" x14ac:dyDescent="0.25">
      <c r="A44" s="3">
        <v>0</v>
      </c>
    </row>
    <row r="45" spans="1:1" x14ac:dyDescent="0.25">
      <c r="A45" s="3" t="s">
        <v>19</v>
      </c>
    </row>
    <row r="46" spans="1:1" x14ac:dyDescent="0.25">
      <c r="A46" s="3">
        <v>2</v>
      </c>
    </row>
    <row r="47" spans="1:1" x14ac:dyDescent="0.25">
      <c r="A47" s="3" t="str">
        <f>"AZT_PL_WID_B_W_"&amp;A3</f>
        <v>AZT_PL_WID_B_W_L20X20X3</v>
      </c>
    </row>
    <row r="48" spans="1:1" x14ac:dyDescent="0.25">
      <c r="A48" s="3">
        <v>70</v>
      </c>
    </row>
    <row r="49" spans="1:1" x14ac:dyDescent="0.25">
      <c r="A49" s="3">
        <v>0</v>
      </c>
    </row>
    <row r="50" spans="1:1" x14ac:dyDescent="0.25">
      <c r="A50" s="3">
        <v>3</v>
      </c>
    </row>
    <row r="51" spans="1:1" x14ac:dyDescent="0.25">
      <c r="A51" s="3" t="s">
        <v>20</v>
      </c>
    </row>
    <row r="52" spans="1:1" x14ac:dyDescent="0.25">
      <c r="A52" s="3">
        <v>62</v>
      </c>
    </row>
    <row r="53" spans="1:1" x14ac:dyDescent="0.25">
      <c r="A53" s="3">
        <v>256</v>
      </c>
    </row>
    <row r="54" spans="1:1" x14ac:dyDescent="0.25">
      <c r="A54" s="3">
        <v>51</v>
      </c>
    </row>
    <row r="55" spans="1:1" x14ac:dyDescent="0.25">
      <c r="A55" s="3">
        <v>90</v>
      </c>
    </row>
    <row r="56" spans="1:1" x14ac:dyDescent="0.25">
      <c r="A56" s="3">
        <v>52</v>
      </c>
    </row>
    <row r="57" spans="1:1" x14ac:dyDescent="0.25">
      <c r="A57" s="3">
        <v>90</v>
      </c>
    </row>
    <row r="58" spans="1:1" x14ac:dyDescent="0.25">
      <c r="A58" s="3">
        <v>71</v>
      </c>
    </row>
    <row r="59" spans="1:1" x14ac:dyDescent="0.25">
      <c r="A59" s="3">
        <v>4</v>
      </c>
    </row>
    <row r="60" spans="1:1" x14ac:dyDescent="0.25">
      <c r="A60" s="3">
        <v>49</v>
      </c>
    </row>
    <row r="61" spans="1:1" x14ac:dyDescent="0.25">
      <c r="A61" s="4">
        <f>C3/2</f>
        <v>10</v>
      </c>
    </row>
    <row r="62" spans="1:1" x14ac:dyDescent="0.25">
      <c r="A62" s="3">
        <v>62</v>
      </c>
    </row>
    <row r="63" spans="1:1" x14ac:dyDescent="0.25">
      <c r="A63" s="3">
        <v>2</v>
      </c>
    </row>
    <row r="64" spans="1:1" x14ac:dyDescent="0.25">
      <c r="A64" s="3">
        <v>6</v>
      </c>
    </row>
    <row r="65" spans="1:1" x14ac:dyDescent="0.25">
      <c r="A65" s="3" t="s">
        <v>21</v>
      </c>
    </row>
    <row r="66" spans="1:1" x14ac:dyDescent="0.25">
      <c r="A66" s="3">
        <v>49</v>
      </c>
    </row>
    <row r="67" spans="1:1" x14ac:dyDescent="0.25">
      <c r="A67" s="4">
        <f>A79+(I3*10)</f>
        <v>-4.04</v>
      </c>
    </row>
    <row r="68" spans="1:1" x14ac:dyDescent="0.25">
      <c r="A68" s="3">
        <v>62</v>
      </c>
    </row>
    <row r="69" spans="1:1" x14ac:dyDescent="0.25">
      <c r="A69" s="3">
        <v>6</v>
      </c>
    </row>
    <row r="70" spans="1:1" x14ac:dyDescent="0.25">
      <c r="A70" s="3">
        <v>6</v>
      </c>
    </row>
    <row r="71" spans="1:1" x14ac:dyDescent="0.25">
      <c r="A71" s="3" t="s">
        <v>23</v>
      </c>
    </row>
    <row r="72" spans="1:1" x14ac:dyDescent="0.25">
      <c r="A72" s="3">
        <v>49</v>
      </c>
    </row>
    <row r="73" spans="1:1" x14ac:dyDescent="0.25">
      <c r="A73" s="4">
        <f>A79+E3</f>
        <v>-7</v>
      </c>
    </row>
    <row r="74" spans="1:1" x14ac:dyDescent="0.25">
      <c r="A74" s="3">
        <v>62</v>
      </c>
    </row>
    <row r="75" spans="1:1" x14ac:dyDescent="0.25">
      <c r="A75" s="3">
        <v>2</v>
      </c>
    </row>
    <row r="76" spans="1:1" x14ac:dyDescent="0.25">
      <c r="A76" s="3">
        <v>6</v>
      </c>
    </row>
    <row r="77" spans="1:1" x14ac:dyDescent="0.25">
      <c r="A77" s="3" t="s">
        <v>21</v>
      </c>
    </row>
    <row r="78" spans="1:1" x14ac:dyDescent="0.25">
      <c r="A78" s="3">
        <v>49</v>
      </c>
    </row>
    <row r="79" spans="1:1" x14ac:dyDescent="0.25">
      <c r="A79" s="4">
        <f>-(C3/2)</f>
        <v>-10</v>
      </c>
    </row>
    <row r="80" spans="1:1" x14ac:dyDescent="0.25">
      <c r="A80" s="3">
        <v>62</v>
      </c>
    </row>
    <row r="81" spans="1:1" x14ac:dyDescent="0.25">
      <c r="A81" s="3">
        <v>2</v>
      </c>
    </row>
    <row r="82" spans="1:1" x14ac:dyDescent="0.25">
      <c r="A82" s="3">
        <v>6</v>
      </c>
    </row>
    <row r="83" spans="1:1" x14ac:dyDescent="0.25">
      <c r="A83" s="3" t="s">
        <v>21</v>
      </c>
    </row>
    <row r="84" spans="1:1" x14ac:dyDescent="0.25">
      <c r="A84" s="3">
        <v>0</v>
      </c>
    </row>
    <row r="85" spans="1:1" x14ac:dyDescent="0.25">
      <c r="A85" s="3" t="s">
        <v>19</v>
      </c>
    </row>
    <row r="86" spans="1:1" x14ac:dyDescent="0.25">
      <c r="A86" s="3">
        <v>2</v>
      </c>
    </row>
    <row r="87" spans="1:1" x14ac:dyDescent="0.25">
      <c r="A87" s="3" t="str">
        <f>"AZT_PL_WID_B_NW_"&amp;A3</f>
        <v>AZT_PL_WID_B_NW_L20X20X3</v>
      </c>
    </row>
    <row r="88" spans="1:1" x14ac:dyDescent="0.25">
      <c r="A88" s="3">
        <v>70</v>
      </c>
    </row>
    <row r="89" spans="1:1" x14ac:dyDescent="0.25">
      <c r="A89" s="3">
        <v>0</v>
      </c>
    </row>
    <row r="90" spans="1:1" x14ac:dyDescent="0.25">
      <c r="A90" s="3">
        <v>3</v>
      </c>
    </row>
    <row r="91" spans="1:1" x14ac:dyDescent="0.25">
      <c r="A91" s="3" t="s">
        <v>20</v>
      </c>
    </row>
    <row r="92" spans="1:1" x14ac:dyDescent="0.25">
      <c r="A92" s="3">
        <v>62</v>
      </c>
    </row>
    <row r="93" spans="1:1" x14ac:dyDescent="0.25">
      <c r="A93" s="3">
        <v>256</v>
      </c>
    </row>
    <row r="94" spans="1:1" x14ac:dyDescent="0.25">
      <c r="A94" s="3">
        <v>51</v>
      </c>
    </row>
    <row r="95" spans="1:1" x14ac:dyDescent="0.25">
      <c r="A95" s="3">
        <v>90</v>
      </c>
    </row>
    <row r="96" spans="1:1" x14ac:dyDescent="0.25">
      <c r="A96" s="3">
        <v>52</v>
      </c>
    </row>
    <row r="97" spans="1:1" x14ac:dyDescent="0.25">
      <c r="A97" s="3">
        <v>90</v>
      </c>
    </row>
    <row r="98" spans="1:1" x14ac:dyDescent="0.25">
      <c r="A98" s="3">
        <v>71</v>
      </c>
    </row>
    <row r="99" spans="1:1" x14ac:dyDescent="0.25">
      <c r="A99" s="3">
        <v>4</v>
      </c>
    </row>
    <row r="100" spans="1:1" x14ac:dyDescent="0.25">
      <c r="A100" s="3">
        <v>49</v>
      </c>
    </row>
    <row r="101" spans="1:1" x14ac:dyDescent="0.25">
      <c r="A101" s="4">
        <f>C3/2</f>
        <v>10</v>
      </c>
    </row>
    <row r="102" spans="1:1" x14ac:dyDescent="0.25">
      <c r="A102" s="3">
        <v>62</v>
      </c>
    </row>
    <row r="103" spans="1:1" x14ac:dyDescent="0.25">
      <c r="A103" s="3">
        <v>2</v>
      </c>
    </row>
    <row r="104" spans="1:1" x14ac:dyDescent="0.25">
      <c r="A104" s="3">
        <v>6</v>
      </c>
    </row>
    <row r="105" spans="1:1" x14ac:dyDescent="0.25">
      <c r="A105" s="3" t="s">
        <v>21</v>
      </c>
    </row>
    <row r="106" spans="1:1" x14ac:dyDescent="0.25">
      <c r="A106" s="3">
        <v>49</v>
      </c>
    </row>
    <row r="107" spans="1:1" x14ac:dyDescent="0.25">
      <c r="A107" s="4">
        <f>A119+(I3*10)</f>
        <v>-4.04</v>
      </c>
    </row>
    <row r="108" spans="1:1" x14ac:dyDescent="0.25">
      <c r="A108" s="3">
        <v>62</v>
      </c>
    </row>
    <row r="109" spans="1:1" x14ac:dyDescent="0.25">
      <c r="A109" s="3">
        <v>6</v>
      </c>
    </row>
    <row r="110" spans="1:1" x14ac:dyDescent="0.25">
      <c r="A110" s="3">
        <v>6</v>
      </c>
    </row>
    <row r="111" spans="1:1" x14ac:dyDescent="0.25">
      <c r="A111" s="3" t="s">
        <v>23</v>
      </c>
    </row>
    <row r="112" spans="1:1" x14ac:dyDescent="0.25">
      <c r="A112" s="3">
        <v>49</v>
      </c>
    </row>
    <row r="113" spans="1:1" x14ac:dyDescent="0.25">
      <c r="A113" s="4">
        <f>A119+E3</f>
        <v>-7</v>
      </c>
    </row>
    <row r="114" spans="1:1" x14ac:dyDescent="0.25">
      <c r="A114" s="3">
        <v>62</v>
      </c>
    </row>
    <row r="115" spans="1:1" x14ac:dyDescent="0.25">
      <c r="A115" s="3">
        <v>4</v>
      </c>
    </row>
    <row r="116" spans="1:1" x14ac:dyDescent="0.25">
      <c r="A116" s="3">
        <v>6</v>
      </c>
    </row>
    <row r="117" spans="1:1" x14ac:dyDescent="0.25">
      <c r="A117" s="3" t="s">
        <v>22</v>
      </c>
    </row>
    <row r="118" spans="1:1" x14ac:dyDescent="0.25">
      <c r="A118" s="3">
        <v>49</v>
      </c>
    </row>
    <row r="119" spans="1:1" x14ac:dyDescent="0.25">
      <c r="A119" s="4">
        <f>-(C3/2)</f>
        <v>-10</v>
      </c>
    </row>
    <row r="120" spans="1:1" x14ac:dyDescent="0.25">
      <c r="A120" s="3">
        <v>62</v>
      </c>
    </row>
    <row r="121" spans="1:1" x14ac:dyDescent="0.25">
      <c r="A121" s="3">
        <v>2</v>
      </c>
    </row>
    <row r="122" spans="1:1" x14ac:dyDescent="0.25">
      <c r="A122" s="3">
        <v>6</v>
      </c>
    </row>
    <row r="123" spans="1:1" x14ac:dyDescent="0.25">
      <c r="A123" s="3" t="s">
        <v>21</v>
      </c>
    </row>
    <row r="124" spans="1:1" x14ac:dyDescent="0.25">
      <c r="A124" s="3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BAZA_KATOWNIKOW!$A$1:$A$136</xm:f>
          </x14:formula1>
          <xm:sqref>A3:B3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S12"/>
  <sheetViews>
    <sheetView workbookViewId="0"/>
  </sheetViews>
  <sheetFormatPr defaultColWidth="11.42578125" defaultRowHeight="15" x14ac:dyDescent="0.25"/>
  <sheetData>
    <row r="1" spans="1:19" x14ac:dyDescent="0.25">
      <c r="A1" t="str">
        <f t="shared" ref="A1:A12" si="0">B1&amp;D1&amp;C1</f>
        <v>HEA100</v>
      </c>
      <c r="B1" t="s">
        <v>1</v>
      </c>
      <c r="C1">
        <v>100</v>
      </c>
      <c r="D1" t="s">
        <v>2</v>
      </c>
      <c r="E1">
        <v>16.7</v>
      </c>
      <c r="F1">
        <v>96</v>
      </c>
      <c r="G1">
        <v>100</v>
      </c>
      <c r="H1">
        <v>5</v>
      </c>
      <c r="I1">
        <v>8</v>
      </c>
      <c r="J1">
        <v>12</v>
      </c>
      <c r="K1">
        <v>21.2</v>
      </c>
      <c r="L1">
        <v>80</v>
      </c>
      <c r="M1">
        <v>56</v>
      </c>
      <c r="N1" t="s">
        <v>3</v>
      </c>
      <c r="O1">
        <v>10</v>
      </c>
      <c r="P1">
        <v>54</v>
      </c>
      <c r="Q1">
        <v>58</v>
      </c>
      <c r="R1">
        <v>0.56100000000000005</v>
      </c>
      <c r="S1">
        <v>33.68</v>
      </c>
    </row>
    <row r="2" spans="1:19" x14ac:dyDescent="0.25">
      <c r="A2" t="str">
        <f t="shared" si="0"/>
        <v>HEA120</v>
      </c>
      <c r="B2" t="s">
        <v>1</v>
      </c>
      <c r="C2">
        <v>120</v>
      </c>
      <c r="D2" t="s">
        <v>2</v>
      </c>
      <c r="E2">
        <v>19.899999999999999</v>
      </c>
      <c r="F2">
        <v>114</v>
      </c>
      <c r="G2">
        <v>120</v>
      </c>
      <c r="H2">
        <v>5</v>
      </c>
      <c r="I2">
        <v>8</v>
      </c>
      <c r="J2">
        <v>12</v>
      </c>
      <c r="K2">
        <v>25.3</v>
      </c>
      <c r="L2">
        <v>98</v>
      </c>
      <c r="M2">
        <v>74</v>
      </c>
      <c r="N2" t="s">
        <v>3</v>
      </c>
      <c r="O2">
        <v>12</v>
      </c>
      <c r="P2">
        <v>58</v>
      </c>
      <c r="Q2">
        <v>68</v>
      </c>
      <c r="R2">
        <v>0.67700000000000005</v>
      </c>
      <c r="S2">
        <v>34.06</v>
      </c>
    </row>
    <row r="3" spans="1:19" x14ac:dyDescent="0.25">
      <c r="A3" t="str">
        <f t="shared" si="0"/>
        <v>HEA140</v>
      </c>
      <c r="B3" t="s">
        <v>1</v>
      </c>
      <c r="C3">
        <v>140</v>
      </c>
      <c r="D3" t="s">
        <v>2</v>
      </c>
      <c r="E3">
        <v>24.7</v>
      </c>
      <c r="F3">
        <v>133</v>
      </c>
      <c r="G3">
        <v>140</v>
      </c>
      <c r="H3">
        <v>5.5</v>
      </c>
      <c r="I3">
        <v>8.5</v>
      </c>
      <c r="J3">
        <v>12</v>
      </c>
      <c r="K3">
        <v>31.4</v>
      </c>
      <c r="L3">
        <v>116</v>
      </c>
      <c r="M3">
        <v>92</v>
      </c>
      <c r="N3" t="s">
        <v>3</v>
      </c>
      <c r="O3">
        <v>16</v>
      </c>
      <c r="P3">
        <v>64</v>
      </c>
      <c r="Q3">
        <v>76</v>
      </c>
      <c r="R3">
        <v>0.79400000000000004</v>
      </c>
      <c r="S3">
        <v>32.21</v>
      </c>
    </row>
    <row r="4" spans="1:19" x14ac:dyDescent="0.25">
      <c r="A4" t="str">
        <f t="shared" si="0"/>
        <v>HEA160</v>
      </c>
      <c r="B4" t="s">
        <v>1</v>
      </c>
      <c r="C4">
        <v>160</v>
      </c>
      <c r="D4" t="s">
        <v>2</v>
      </c>
      <c r="E4">
        <v>30.4</v>
      </c>
      <c r="F4">
        <v>152</v>
      </c>
      <c r="G4">
        <v>160</v>
      </c>
      <c r="H4">
        <v>6</v>
      </c>
      <c r="I4">
        <v>9</v>
      </c>
      <c r="J4">
        <v>15</v>
      </c>
      <c r="K4">
        <v>38.799999999999997</v>
      </c>
      <c r="L4">
        <v>134</v>
      </c>
      <c r="M4">
        <v>104</v>
      </c>
      <c r="N4" t="s">
        <v>3</v>
      </c>
      <c r="O4">
        <v>20</v>
      </c>
      <c r="P4">
        <v>78</v>
      </c>
      <c r="Q4">
        <v>84</v>
      </c>
      <c r="R4">
        <v>0.90600000000000003</v>
      </c>
      <c r="S4">
        <v>29.78</v>
      </c>
    </row>
    <row r="5" spans="1:19" x14ac:dyDescent="0.25">
      <c r="A5" t="str">
        <f t="shared" si="0"/>
        <v>HEA180</v>
      </c>
      <c r="B5" t="s">
        <v>1</v>
      </c>
      <c r="C5">
        <v>180</v>
      </c>
      <c r="D5" t="s">
        <v>2</v>
      </c>
      <c r="E5">
        <v>35.5</v>
      </c>
      <c r="F5">
        <v>171</v>
      </c>
      <c r="G5">
        <v>180</v>
      </c>
      <c r="H5">
        <v>6</v>
      </c>
      <c r="I5">
        <v>9.5</v>
      </c>
      <c r="J5">
        <v>15</v>
      </c>
      <c r="K5">
        <v>45.3</v>
      </c>
      <c r="L5">
        <v>152</v>
      </c>
      <c r="M5">
        <v>122</v>
      </c>
      <c r="N5" t="s">
        <v>3</v>
      </c>
      <c r="O5">
        <v>24</v>
      </c>
      <c r="P5">
        <v>86</v>
      </c>
      <c r="Q5">
        <v>92</v>
      </c>
      <c r="R5">
        <v>1.024</v>
      </c>
      <c r="S5">
        <v>28.83</v>
      </c>
    </row>
    <row r="6" spans="1:19" x14ac:dyDescent="0.25">
      <c r="A6" t="str">
        <f t="shared" si="0"/>
        <v>HEA200</v>
      </c>
      <c r="B6" t="s">
        <v>1</v>
      </c>
      <c r="C6">
        <v>200</v>
      </c>
      <c r="D6" t="s">
        <v>2</v>
      </c>
      <c r="E6">
        <v>42.3</v>
      </c>
      <c r="F6">
        <v>190</v>
      </c>
      <c r="G6">
        <v>200</v>
      </c>
      <c r="H6">
        <v>6.5</v>
      </c>
      <c r="I6">
        <v>10</v>
      </c>
      <c r="J6">
        <v>18</v>
      </c>
      <c r="K6">
        <v>53.8</v>
      </c>
      <c r="L6">
        <v>170</v>
      </c>
      <c r="M6">
        <v>134</v>
      </c>
      <c r="N6" t="s">
        <v>3</v>
      </c>
      <c r="O6">
        <v>27</v>
      </c>
      <c r="P6">
        <v>98</v>
      </c>
      <c r="Q6">
        <v>100</v>
      </c>
      <c r="R6">
        <v>1.1359999999999999</v>
      </c>
      <c r="S6">
        <v>26.89</v>
      </c>
    </row>
    <row r="7" spans="1:19" x14ac:dyDescent="0.25">
      <c r="A7" t="str">
        <f t="shared" si="0"/>
        <v>HEB100</v>
      </c>
      <c r="B7" t="s">
        <v>1</v>
      </c>
      <c r="C7">
        <v>100</v>
      </c>
      <c r="D7" t="s">
        <v>4</v>
      </c>
      <c r="E7">
        <v>20.399999999999999</v>
      </c>
      <c r="F7">
        <v>100</v>
      </c>
      <c r="G7">
        <v>100</v>
      </c>
      <c r="H7">
        <v>6</v>
      </c>
      <c r="I7">
        <v>10</v>
      </c>
      <c r="J7">
        <v>12</v>
      </c>
      <c r="K7">
        <v>26</v>
      </c>
      <c r="L7">
        <v>80</v>
      </c>
      <c r="M7">
        <v>56</v>
      </c>
      <c r="N7" t="s">
        <v>3</v>
      </c>
      <c r="O7">
        <v>10</v>
      </c>
      <c r="P7">
        <v>56</v>
      </c>
      <c r="Q7">
        <v>58</v>
      </c>
      <c r="R7">
        <v>0.56699999999999995</v>
      </c>
      <c r="S7">
        <v>27.76</v>
      </c>
    </row>
    <row r="8" spans="1:19" x14ac:dyDescent="0.25">
      <c r="A8" t="str">
        <f t="shared" si="0"/>
        <v>HEB120</v>
      </c>
      <c r="B8" t="s">
        <v>1</v>
      </c>
      <c r="C8">
        <v>120</v>
      </c>
      <c r="D8" t="s">
        <v>4</v>
      </c>
      <c r="E8">
        <v>26.7</v>
      </c>
      <c r="F8">
        <v>120</v>
      </c>
      <c r="G8">
        <v>120</v>
      </c>
      <c r="H8">
        <v>6.5</v>
      </c>
      <c r="I8">
        <v>11</v>
      </c>
      <c r="J8">
        <v>12</v>
      </c>
      <c r="K8">
        <v>34</v>
      </c>
      <c r="L8">
        <v>98</v>
      </c>
      <c r="M8">
        <v>74</v>
      </c>
      <c r="N8" t="s">
        <v>3</v>
      </c>
      <c r="O8">
        <v>12</v>
      </c>
      <c r="P8">
        <v>60</v>
      </c>
      <c r="Q8">
        <v>68</v>
      </c>
      <c r="R8">
        <v>0.68600000000000005</v>
      </c>
      <c r="S8">
        <v>25.71</v>
      </c>
    </row>
    <row r="9" spans="1:19" x14ac:dyDescent="0.25">
      <c r="A9" t="str">
        <f t="shared" si="0"/>
        <v>HEB140</v>
      </c>
      <c r="B9" t="s">
        <v>1</v>
      </c>
      <c r="C9">
        <v>140</v>
      </c>
      <c r="D9" t="s">
        <v>4</v>
      </c>
      <c r="E9">
        <v>33.700000000000003</v>
      </c>
      <c r="F9">
        <v>140</v>
      </c>
      <c r="G9">
        <v>140</v>
      </c>
      <c r="H9">
        <v>7</v>
      </c>
      <c r="I9">
        <v>12</v>
      </c>
      <c r="J9">
        <v>12</v>
      </c>
      <c r="K9">
        <v>43</v>
      </c>
      <c r="L9">
        <v>116</v>
      </c>
      <c r="M9">
        <v>92</v>
      </c>
      <c r="N9" t="s">
        <v>3</v>
      </c>
      <c r="O9">
        <v>16</v>
      </c>
      <c r="P9">
        <v>66</v>
      </c>
      <c r="Q9">
        <v>76</v>
      </c>
      <c r="R9">
        <v>0.80500000000000005</v>
      </c>
      <c r="S9">
        <v>23.88</v>
      </c>
    </row>
    <row r="10" spans="1:19" x14ac:dyDescent="0.25">
      <c r="A10" t="str">
        <f t="shared" si="0"/>
        <v>HEB160</v>
      </c>
      <c r="B10" t="s">
        <v>1</v>
      </c>
      <c r="C10">
        <v>160</v>
      </c>
      <c r="D10" t="s">
        <v>4</v>
      </c>
      <c r="E10">
        <v>42.6</v>
      </c>
      <c r="F10">
        <v>160</v>
      </c>
      <c r="G10">
        <v>160</v>
      </c>
      <c r="H10">
        <v>8</v>
      </c>
      <c r="I10">
        <v>13</v>
      </c>
      <c r="J10">
        <v>15</v>
      </c>
      <c r="K10">
        <v>54.3</v>
      </c>
      <c r="L10">
        <v>134</v>
      </c>
      <c r="M10">
        <v>104</v>
      </c>
      <c r="N10" t="s">
        <v>3</v>
      </c>
      <c r="O10">
        <v>20</v>
      </c>
      <c r="P10">
        <v>80</v>
      </c>
      <c r="Q10">
        <v>84</v>
      </c>
      <c r="R10">
        <v>0.91800000000000004</v>
      </c>
      <c r="S10">
        <v>21.56</v>
      </c>
    </row>
    <row r="11" spans="1:19" x14ac:dyDescent="0.25">
      <c r="A11" t="str">
        <f t="shared" si="0"/>
        <v>HEB180</v>
      </c>
      <c r="B11" t="s">
        <v>1</v>
      </c>
      <c r="C11">
        <v>180</v>
      </c>
      <c r="D11" t="s">
        <v>4</v>
      </c>
      <c r="E11">
        <v>51.2</v>
      </c>
      <c r="F11">
        <v>180</v>
      </c>
      <c r="G11">
        <v>180</v>
      </c>
      <c r="H11">
        <v>8.5</v>
      </c>
      <c r="I11">
        <v>14</v>
      </c>
      <c r="J11">
        <v>15</v>
      </c>
      <c r="K11">
        <v>65.3</v>
      </c>
      <c r="L11">
        <v>152</v>
      </c>
      <c r="M11">
        <v>122</v>
      </c>
      <c r="N11" t="s">
        <v>3</v>
      </c>
      <c r="O11">
        <v>24</v>
      </c>
      <c r="P11">
        <v>88</v>
      </c>
      <c r="Q11">
        <v>92</v>
      </c>
      <c r="R11">
        <v>1.0369999999999999</v>
      </c>
      <c r="S11">
        <v>20.25</v>
      </c>
    </row>
    <row r="12" spans="1:19" x14ac:dyDescent="0.25">
      <c r="A12" t="str">
        <f t="shared" si="0"/>
        <v>HEB200</v>
      </c>
      <c r="B12" t="s">
        <v>1</v>
      </c>
      <c r="C12">
        <v>200</v>
      </c>
      <c r="D12" t="s">
        <v>4</v>
      </c>
      <c r="E12">
        <v>61.3</v>
      </c>
      <c r="F12">
        <v>200</v>
      </c>
      <c r="G12">
        <v>200</v>
      </c>
      <c r="H12">
        <v>9</v>
      </c>
      <c r="I12">
        <v>15</v>
      </c>
      <c r="J12">
        <v>18</v>
      </c>
      <c r="K12">
        <v>78.099999999999994</v>
      </c>
      <c r="L12">
        <v>170</v>
      </c>
      <c r="M12">
        <v>134</v>
      </c>
      <c r="N12" t="s">
        <v>3</v>
      </c>
      <c r="O12">
        <v>27</v>
      </c>
      <c r="P12">
        <v>100</v>
      </c>
      <c r="Q12">
        <v>100</v>
      </c>
      <c r="R12">
        <v>1.151</v>
      </c>
      <c r="S12">
        <v>18.78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AN14"/>
  <sheetViews>
    <sheetView workbookViewId="0"/>
  </sheetViews>
  <sheetFormatPr defaultColWidth="11.5703125" defaultRowHeight="15" x14ac:dyDescent="0.25"/>
  <sheetData>
    <row r="1" spans="1:40" x14ac:dyDescent="0.25">
      <c r="A1" t="str">
        <f t="shared" ref="A1:A14" si="0">B1&amp;C1</f>
        <v>UPE80</v>
      </c>
      <c r="B1" t="s">
        <v>5</v>
      </c>
      <c r="C1">
        <v>80</v>
      </c>
      <c r="D1">
        <v>7.9</v>
      </c>
      <c r="E1">
        <v>80</v>
      </c>
      <c r="F1">
        <v>50</v>
      </c>
      <c r="G1">
        <v>4</v>
      </c>
      <c r="H1">
        <v>7</v>
      </c>
      <c r="I1">
        <v>10</v>
      </c>
      <c r="J1">
        <v>10.1</v>
      </c>
      <c r="K1">
        <v>66</v>
      </c>
      <c r="L1">
        <v>46</v>
      </c>
      <c r="M1" t="s">
        <v>6</v>
      </c>
      <c r="N1" t="s">
        <v>6</v>
      </c>
      <c r="O1" t="s">
        <v>6</v>
      </c>
      <c r="P1">
        <v>0.34300000000000003</v>
      </c>
      <c r="Q1">
        <v>43.45</v>
      </c>
      <c r="S1" t="s">
        <v>5</v>
      </c>
      <c r="T1">
        <v>80</v>
      </c>
      <c r="U1">
        <v>7.9</v>
      </c>
      <c r="V1">
        <v>107</v>
      </c>
      <c r="W1">
        <v>26.8</v>
      </c>
      <c r="X1">
        <v>31.2</v>
      </c>
      <c r="Y1">
        <v>3.26</v>
      </c>
      <c r="Z1">
        <v>4.05</v>
      </c>
      <c r="AA1">
        <v>25.5</v>
      </c>
      <c r="AB1">
        <v>8</v>
      </c>
      <c r="AC1">
        <v>14.3</v>
      </c>
      <c r="AD1">
        <v>1.59</v>
      </c>
      <c r="AE1">
        <v>16.899999999999999</v>
      </c>
      <c r="AF1">
        <v>1.47</v>
      </c>
      <c r="AG1">
        <v>0.22</v>
      </c>
      <c r="AH1">
        <v>1.82</v>
      </c>
      <c r="AI1">
        <v>3.71</v>
      </c>
      <c r="AJ1">
        <v>1</v>
      </c>
      <c r="AK1">
        <v>1</v>
      </c>
      <c r="AL1">
        <v>1</v>
      </c>
      <c r="AM1">
        <v>1</v>
      </c>
      <c r="AN1" t="s">
        <v>7</v>
      </c>
    </row>
    <row r="2" spans="1:40" x14ac:dyDescent="0.25">
      <c r="A2" t="str">
        <f t="shared" si="0"/>
        <v>UPE100</v>
      </c>
      <c r="B2" t="s">
        <v>5</v>
      </c>
      <c r="C2">
        <v>100</v>
      </c>
      <c r="D2">
        <v>9.82</v>
      </c>
      <c r="E2">
        <v>100</v>
      </c>
      <c r="F2">
        <v>55</v>
      </c>
      <c r="G2">
        <v>4.5</v>
      </c>
      <c r="H2">
        <v>7.5</v>
      </c>
      <c r="I2">
        <v>10</v>
      </c>
      <c r="J2">
        <v>12.5</v>
      </c>
      <c r="K2">
        <v>85</v>
      </c>
      <c r="L2">
        <v>65</v>
      </c>
      <c r="M2" t="s">
        <v>3</v>
      </c>
      <c r="N2">
        <v>12</v>
      </c>
      <c r="O2">
        <v>35</v>
      </c>
      <c r="P2">
        <v>36</v>
      </c>
      <c r="Q2">
        <v>0.40200000000000002</v>
      </c>
      <c r="R2">
        <v>41</v>
      </c>
      <c r="S2" t="s">
        <v>5</v>
      </c>
      <c r="T2">
        <v>100</v>
      </c>
      <c r="U2">
        <v>9.82</v>
      </c>
      <c r="V2">
        <v>207</v>
      </c>
      <c r="W2">
        <v>41.4</v>
      </c>
      <c r="X2">
        <v>48</v>
      </c>
      <c r="Y2">
        <v>4.07</v>
      </c>
      <c r="Z2">
        <v>5.34</v>
      </c>
      <c r="AA2">
        <v>38.299999999999997</v>
      </c>
      <c r="AB2">
        <v>10.6</v>
      </c>
      <c r="AC2">
        <v>19.3</v>
      </c>
      <c r="AD2">
        <v>1.75</v>
      </c>
      <c r="AE2">
        <v>17.899999999999999</v>
      </c>
      <c r="AF2">
        <v>2.0099999999999998</v>
      </c>
      <c r="AG2">
        <v>0.53</v>
      </c>
      <c r="AH2">
        <v>1.91</v>
      </c>
      <c r="AI2">
        <v>3.93</v>
      </c>
      <c r="AJ2">
        <v>1</v>
      </c>
      <c r="AK2">
        <v>1</v>
      </c>
      <c r="AL2">
        <v>1</v>
      </c>
      <c r="AM2">
        <v>1</v>
      </c>
      <c r="AN2" t="s">
        <v>7</v>
      </c>
    </row>
    <row r="3" spans="1:40" x14ac:dyDescent="0.25">
      <c r="A3" t="str">
        <f t="shared" si="0"/>
        <v>UPE120</v>
      </c>
      <c r="B3" t="s">
        <v>5</v>
      </c>
      <c r="C3">
        <v>120</v>
      </c>
      <c r="D3">
        <v>12.1</v>
      </c>
      <c r="E3">
        <v>120</v>
      </c>
      <c r="F3">
        <v>60</v>
      </c>
      <c r="G3">
        <v>5</v>
      </c>
      <c r="H3">
        <v>8</v>
      </c>
      <c r="I3">
        <v>12</v>
      </c>
      <c r="J3">
        <v>15.4</v>
      </c>
      <c r="K3">
        <v>104</v>
      </c>
      <c r="L3">
        <v>80</v>
      </c>
      <c r="M3" t="s">
        <v>3</v>
      </c>
      <c r="N3">
        <v>12</v>
      </c>
      <c r="O3">
        <v>35</v>
      </c>
      <c r="P3">
        <v>41</v>
      </c>
      <c r="Q3">
        <v>0.46</v>
      </c>
      <c r="R3">
        <v>37.979999999999997</v>
      </c>
      <c r="S3" t="s">
        <v>5</v>
      </c>
      <c r="T3">
        <v>120</v>
      </c>
      <c r="U3">
        <v>12.1</v>
      </c>
      <c r="V3">
        <v>364</v>
      </c>
      <c r="W3">
        <v>60.6</v>
      </c>
      <c r="X3">
        <v>70.3</v>
      </c>
      <c r="Y3">
        <v>4.8600000000000003</v>
      </c>
      <c r="Z3">
        <v>7.18</v>
      </c>
      <c r="AA3">
        <v>55.5</v>
      </c>
      <c r="AB3">
        <v>13.8</v>
      </c>
      <c r="AC3">
        <v>25.3</v>
      </c>
      <c r="AD3">
        <v>1.9</v>
      </c>
      <c r="AE3">
        <v>20</v>
      </c>
      <c r="AF3">
        <v>2.9</v>
      </c>
      <c r="AG3">
        <v>1.1200000000000001</v>
      </c>
      <c r="AH3">
        <v>1.98</v>
      </c>
      <c r="AI3">
        <v>4.12</v>
      </c>
      <c r="AJ3">
        <v>1</v>
      </c>
      <c r="AK3">
        <v>1</v>
      </c>
      <c r="AL3">
        <v>1</v>
      </c>
      <c r="AM3">
        <v>1</v>
      </c>
      <c r="AN3" t="s">
        <v>7</v>
      </c>
    </row>
    <row r="4" spans="1:40" x14ac:dyDescent="0.25">
      <c r="A4" t="str">
        <f t="shared" si="0"/>
        <v>UPE140</v>
      </c>
      <c r="B4" t="s">
        <v>5</v>
      </c>
      <c r="C4">
        <v>140</v>
      </c>
      <c r="D4">
        <v>14.5</v>
      </c>
      <c r="E4">
        <v>140</v>
      </c>
      <c r="F4">
        <v>65</v>
      </c>
      <c r="G4">
        <v>5</v>
      </c>
      <c r="H4">
        <v>9</v>
      </c>
      <c r="I4">
        <v>12</v>
      </c>
      <c r="J4">
        <v>18.399999999999999</v>
      </c>
      <c r="K4">
        <v>122</v>
      </c>
      <c r="L4">
        <v>98</v>
      </c>
      <c r="M4" t="s">
        <v>3</v>
      </c>
      <c r="N4">
        <v>16</v>
      </c>
      <c r="O4">
        <v>35</v>
      </c>
      <c r="P4">
        <v>38</v>
      </c>
      <c r="Q4">
        <v>0.52</v>
      </c>
      <c r="R4">
        <v>35.950000000000003</v>
      </c>
      <c r="S4" t="s">
        <v>5</v>
      </c>
      <c r="T4">
        <v>140</v>
      </c>
      <c r="U4">
        <v>14.5</v>
      </c>
      <c r="V4">
        <v>600</v>
      </c>
      <c r="W4">
        <v>85.6</v>
      </c>
      <c r="X4">
        <v>98.8</v>
      </c>
      <c r="Y4">
        <v>5.71</v>
      </c>
      <c r="Z4">
        <v>8.25</v>
      </c>
      <c r="AA4">
        <v>78.8</v>
      </c>
      <c r="AB4">
        <v>18.2</v>
      </c>
      <c r="AC4">
        <v>33.200000000000003</v>
      </c>
      <c r="AD4">
        <v>2.0699999999999998</v>
      </c>
      <c r="AE4">
        <v>21</v>
      </c>
      <c r="AF4">
        <v>4.05</v>
      </c>
      <c r="AG4">
        <v>2.2000000000000002</v>
      </c>
      <c r="AH4">
        <v>2.17</v>
      </c>
      <c r="AI4">
        <v>4.54</v>
      </c>
      <c r="AJ4">
        <v>1</v>
      </c>
      <c r="AK4">
        <v>1</v>
      </c>
      <c r="AL4">
        <v>1</v>
      </c>
      <c r="AM4">
        <v>1</v>
      </c>
      <c r="AN4" t="s">
        <v>7</v>
      </c>
    </row>
    <row r="5" spans="1:40" x14ac:dyDescent="0.25">
      <c r="A5" t="str">
        <f t="shared" si="0"/>
        <v>UPE160</v>
      </c>
      <c r="B5" t="s">
        <v>5</v>
      </c>
      <c r="C5">
        <v>160</v>
      </c>
      <c r="D5">
        <v>17</v>
      </c>
      <c r="E5">
        <v>160</v>
      </c>
      <c r="F5">
        <v>70</v>
      </c>
      <c r="G5">
        <v>5.5</v>
      </c>
      <c r="H5">
        <v>9.5</v>
      </c>
      <c r="I5">
        <v>12</v>
      </c>
      <c r="J5">
        <v>21.7</v>
      </c>
      <c r="K5">
        <v>141</v>
      </c>
      <c r="L5">
        <v>117</v>
      </c>
      <c r="M5" t="s">
        <v>3</v>
      </c>
      <c r="N5">
        <v>16</v>
      </c>
      <c r="O5">
        <v>36</v>
      </c>
      <c r="P5">
        <v>43</v>
      </c>
      <c r="Q5">
        <v>0.57899999999999996</v>
      </c>
      <c r="R5">
        <v>34.01</v>
      </c>
      <c r="S5" t="s">
        <v>5</v>
      </c>
      <c r="T5">
        <v>160</v>
      </c>
      <c r="U5">
        <v>17</v>
      </c>
      <c r="V5">
        <v>911</v>
      </c>
      <c r="W5">
        <v>114</v>
      </c>
      <c r="X5">
        <v>132</v>
      </c>
      <c r="Y5">
        <v>6.48</v>
      </c>
      <c r="Z5">
        <v>10</v>
      </c>
      <c r="AA5">
        <v>107</v>
      </c>
      <c r="AB5">
        <v>22.6</v>
      </c>
      <c r="AC5">
        <v>41.5</v>
      </c>
      <c r="AD5">
        <v>2.2200000000000002</v>
      </c>
      <c r="AE5">
        <v>22</v>
      </c>
      <c r="AF5">
        <v>5.2</v>
      </c>
      <c r="AG5">
        <v>3.96</v>
      </c>
      <c r="AH5">
        <v>2.27</v>
      </c>
      <c r="AI5">
        <v>4.76</v>
      </c>
      <c r="AJ5">
        <v>1</v>
      </c>
      <c r="AK5">
        <v>1</v>
      </c>
      <c r="AL5">
        <v>1</v>
      </c>
      <c r="AM5">
        <v>1</v>
      </c>
      <c r="AN5" t="s">
        <v>7</v>
      </c>
    </row>
    <row r="6" spans="1:40" x14ac:dyDescent="0.25">
      <c r="A6" t="str">
        <f t="shared" si="0"/>
        <v>UPE180</v>
      </c>
      <c r="B6" t="s">
        <v>5</v>
      </c>
      <c r="C6">
        <v>180</v>
      </c>
      <c r="D6">
        <v>19.7</v>
      </c>
      <c r="E6">
        <v>180</v>
      </c>
      <c r="F6">
        <v>75</v>
      </c>
      <c r="G6">
        <v>5.5</v>
      </c>
      <c r="H6">
        <v>10.5</v>
      </c>
      <c r="I6">
        <v>12</v>
      </c>
      <c r="J6">
        <v>25.1</v>
      </c>
      <c r="K6">
        <v>159</v>
      </c>
      <c r="L6">
        <v>135</v>
      </c>
      <c r="M6" t="s">
        <v>3</v>
      </c>
      <c r="N6">
        <v>16</v>
      </c>
      <c r="O6">
        <v>36</v>
      </c>
      <c r="P6">
        <v>48</v>
      </c>
      <c r="Q6">
        <v>0.63900000000000001</v>
      </c>
      <c r="R6">
        <v>32.4</v>
      </c>
      <c r="S6" t="s">
        <v>5</v>
      </c>
      <c r="T6">
        <v>180</v>
      </c>
      <c r="U6">
        <v>19.7</v>
      </c>
      <c r="V6">
        <v>1350</v>
      </c>
      <c r="W6">
        <v>150</v>
      </c>
      <c r="X6">
        <v>173</v>
      </c>
      <c r="Y6">
        <v>7.34</v>
      </c>
      <c r="Z6">
        <v>11.2</v>
      </c>
      <c r="AA6">
        <v>144</v>
      </c>
      <c r="AB6">
        <v>28.6</v>
      </c>
      <c r="AC6">
        <v>52.3</v>
      </c>
      <c r="AD6">
        <v>2.39</v>
      </c>
      <c r="AE6">
        <v>23</v>
      </c>
      <c r="AF6">
        <v>6.99</v>
      </c>
      <c r="AG6">
        <v>6.81</v>
      </c>
      <c r="AH6">
        <v>2.4700000000000002</v>
      </c>
      <c r="AI6">
        <v>5.19</v>
      </c>
      <c r="AJ6">
        <v>1</v>
      </c>
      <c r="AK6">
        <v>1</v>
      </c>
      <c r="AL6">
        <v>1</v>
      </c>
      <c r="AM6">
        <v>1</v>
      </c>
      <c r="AN6" t="s">
        <v>7</v>
      </c>
    </row>
    <row r="7" spans="1:40" x14ac:dyDescent="0.25">
      <c r="A7" t="str">
        <f t="shared" si="0"/>
        <v>UPE200</v>
      </c>
      <c r="B7" t="s">
        <v>5</v>
      </c>
      <c r="C7">
        <v>200</v>
      </c>
      <c r="D7">
        <v>22.8</v>
      </c>
      <c r="E7">
        <v>200</v>
      </c>
      <c r="F7">
        <v>80</v>
      </c>
      <c r="G7">
        <v>6</v>
      </c>
      <c r="H7">
        <v>11</v>
      </c>
      <c r="I7">
        <v>13</v>
      </c>
      <c r="J7">
        <v>29</v>
      </c>
      <c r="K7">
        <v>178</v>
      </c>
      <c r="L7">
        <v>152</v>
      </c>
      <c r="M7" t="s">
        <v>3</v>
      </c>
      <c r="N7">
        <v>20</v>
      </c>
      <c r="O7">
        <v>46</v>
      </c>
      <c r="P7">
        <v>47</v>
      </c>
      <c r="Q7">
        <v>0.69699999999999995</v>
      </c>
      <c r="R7">
        <v>30.6</v>
      </c>
      <c r="S7" t="s">
        <v>5</v>
      </c>
      <c r="T7">
        <v>200</v>
      </c>
      <c r="U7">
        <v>22.8</v>
      </c>
      <c r="V7">
        <v>1910</v>
      </c>
      <c r="W7">
        <v>191</v>
      </c>
      <c r="X7">
        <v>220</v>
      </c>
      <c r="Y7">
        <v>8.11</v>
      </c>
      <c r="Z7">
        <v>13.5</v>
      </c>
      <c r="AA7">
        <v>187</v>
      </c>
      <c r="AB7">
        <v>34.5</v>
      </c>
      <c r="AC7">
        <v>63.3</v>
      </c>
      <c r="AD7">
        <v>2.54</v>
      </c>
      <c r="AE7">
        <v>24.6</v>
      </c>
      <c r="AF7">
        <v>8.89</v>
      </c>
      <c r="AG7">
        <v>11</v>
      </c>
      <c r="AH7">
        <v>2.56</v>
      </c>
      <c r="AI7">
        <v>5.41</v>
      </c>
      <c r="AJ7">
        <v>1</v>
      </c>
      <c r="AK7">
        <v>1</v>
      </c>
      <c r="AL7">
        <v>1</v>
      </c>
      <c r="AM7">
        <v>1</v>
      </c>
      <c r="AN7" t="s">
        <v>7</v>
      </c>
    </row>
    <row r="8" spans="1:40" x14ac:dyDescent="0.25">
      <c r="A8" t="str">
        <f t="shared" si="0"/>
        <v>UPE220</v>
      </c>
      <c r="B8" t="s">
        <v>5</v>
      </c>
      <c r="C8">
        <v>220</v>
      </c>
      <c r="D8">
        <v>26.6</v>
      </c>
      <c r="E8">
        <v>220</v>
      </c>
      <c r="F8">
        <v>85</v>
      </c>
      <c r="G8">
        <v>6.5</v>
      </c>
      <c r="H8">
        <v>12</v>
      </c>
      <c r="I8">
        <v>13</v>
      </c>
      <c r="J8">
        <v>33.9</v>
      </c>
      <c r="K8">
        <v>196</v>
      </c>
      <c r="L8">
        <v>170</v>
      </c>
      <c r="M8" t="s">
        <v>3</v>
      </c>
      <c r="N8">
        <v>22</v>
      </c>
      <c r="O8">
        <v>47</v>
      </c>
      <c r="P8">
        <v>49</v>
      </c>
      <c r="Q8">
        <v>0.75600000000000001</v>
      </c>
      <c r="R8">
        <v>28.43</v>
      </c>
      <c r="S8" t="s">
        <v>5</v>
      </c>
      <c r="T8">
        <v>220</v>
      </c>
      <c r="U8">
        <v>26.6</v>
      </c>
      <c r="V8">
        <v>2680</v>
      </c>
      <c r="W8">
        <v>244</v>
      </c>
      <c r="X8">
        <v>281</v>
      </c>
      <c r="Y8">
        <v>8.9</v>
      </c>
      <c r="Z8">
        <v>15.8</v>
      </c>
      <c r="AA8">
        <v>247</v>
      </c>
      <c r="AB8">
        <v>42.5</v>
      </c>
      <c r="AC8">
        <v>78.2</v>
      </c>
      <c r="AD8">
        <v>2.7</v>
      </c>
      <c r="AE8">
        <v>26.1</v>
      </c>
      <c r="AF8">
        <v>12.1</v>
      </c>
      <c r="AG8">
        <v>17.600000000000001</v>
      </c>
      <c r="AH8">
        <v>2.7</v>
      </c>
      <c r="AI8">
        <v>5.7</v>
      </c>
      <c r="AJ8">
        <v>1</v>
      </c>
      <c r="AK8">
        <v>1</v>
      </c>
      <c r="AL8">
        <v>1</v>
      </c>
      <c r="AM8">
        <v>1</v>
      </c>
      <c r="AN8" t="s">
        <v>7</v>
      </c>
    </row>
    <row r="9" spans="1:40" x14ac:dyDescent="0.25">
      <c r="A9" t="str">
        <f t="shared" si="0"/>
        <v>UPE240</v>
      </c>
      <c r="B9" t="s">
        <v>5</v>
      </c>
      <c r="C9">
        <v>240</v>
      </c>
      <c r="D9">
        <v>30.2</v>
      </c>
      <c r="E9">
        <v>240</v>
      </c>
      <c r="F9">
        <v>90</v>
      </c>
      <c r="G9">
        <v>7</v>
      </c>
      <c r="H9">
        <v>12.5</v>
      </c>
      <c r="I9">
        <v>15</v>
      </c>
      <c r="J9">
        <v>38.5</v>
      </c>
      <c r="K9">
        <v>215</v>
      </c>
      <c r="L9">
        <v>185</v>
      </c>
      <c r="M9" t="s">
        <v>3</v>
      </c>
      <c r="N9">
        <v>24</v>
      </c>
      <c r="O9">
        <v>47</v>
      </c>
      <c r="P9">
        <v>51</v>
      </c>
      <c r="Q9">
        <v>0.81299999999999994</v>
      </c>
      <c r="R9">
        <v>26.89</v>
      </c>
      <c r="S9" t="s">
        <v>5</v>
      </c>
      <c r="T9">
        <v>240</v>
      </c>
      <c r="U9">
        <v>30.2</v>
      </c>
      <c r="V9">
        <v>3600</v>
      </c>
      <c r="W9">
        <v>300</v>
      </c>
      <c r="X9">
        <v>347</v>
      </c>
      <c r="Y9">
        <v>9.67</v>
      </c>
      <c r="Z9">
        <v>18.8</v>
      </c>
      <c r="AA9">
        <v>311</v>
      </c>
      <c r="AB9">
        <v>50.1</v>
      </c>
      <c r="AC9">
        <v>92.2</v>
      </c>
      <c r="AD9">
        <v>2.84</v>
      </c>
      <c r="AE9">
        <v>28.3</v>
      </c>
      <c r="AF9">
        <v>15.1</v>
      </c>
      <c r="AG9">
        <v>26.4</v>
      </c>
      <c r="AH9">
        <v>2.79</v>
      </c>
      <c r="AI9">
        <v>5.91</v>
      </c>
      <c r="AJ9">
        <v>1</v>
      </c>
      <c r="AK9">
        <v>1</v>
      </c>
      <c r="AL9">
        <v>1</v>
      </c>
      <c r="AM9">
        <v>1</v>
      </c>
      <c r="AN9" t="s">
        <v>7</v>
      </c>
    </row>
    <row r="10" spans="1:40" x14ac:dyDescent="0.25">
      <c r="A10" t="str">
        <f t="shared" si="0"/>
        <v>UPE270</v>
      </c>
      <c r="B10" t="s">
        <v>5</v>
      </c>
      <c r="C10">
        <v>270</v>
      </c>
      <c r="D10">
        <v>35.200000000000003</v>
      </c>
      <c r="E10">
        <v>270</v>
      </c>
      <c r="F10">
        <v>95</v>
      </c>
      <c r="G10">
        <v>7.5</v>
      </c>
      <c r="H10">
        <v>13.5</v>
      </c>
      <c r="I10">
        <v>15</v>
      </c>
      <c r="J10">
        <v>44.8</v>
      </c>
      <c r="K10">
        <v>243</v>
      </c>
      <c r="L10">
        <v>213</v>
      </c>
      <c r="M10" t="s">
        <v>3</v>
      </c>
      <c r="N10">
        <v>27</v>
      </c>
      <c r="O10">
        <v>48</v>
      </c>
      <c r="P10">
        <v>50</v>
      </c>
      <c r="Q10">
        <v>0.89200000000000002</v>
      </c>
      <c r="R10">
        <v>25.34</v>
      </c>
      <c r="S10" t="s">
        <v>5</v>
      </c>
      <c r="T10">
        <v>270</v>
      </c>
      <c r="U10">
        <v>35.200000000000003</v>
      </c>
      <c r="V10">
        <v>5250</v>
      </c>
      <c r="W10">
        <v>389</v>
      </c>
      <c r="X10">
        <v>451</v>
      </c>
      <c r="Y10">
        <v>10.8</v>
      </c>
      <c r="Z10">
        <v>22.2</v>
      </c>
      <c r="AA10">
        <v>401</v>
      </c>
      <c r="AB10">
        <v>60.7</v>
      </c>
      <c r="AC10">
        <v>112</v>
      </c>
      <c r="AD10">
        <v>2.99</v>
      </c>
      <c r="AE10">
        <v>29.8</v>
      </c>
      <c r="AF10">
        <v>19.899999999999999</v>
      </c>
      <c r="AG10">
        <v>43.6</v>
      </c>
      <c r="AH10">
        <v>2.89</v>
      </c>
      <c r="AI10">
        <v>6.14</v>
      </c>
      <c r="AJ10">
        <v>1</v>
      </c>
      <c r="AK10">
        <v>1</v>
      </c>
      <c r="AL10">
        <v>1</v>
      </c>
      <c r="AM10">
        <v>2</v>
      </c>
      <c r="AN10" t="s">
        <v>7</v>
      </c>
    </row>
    <row r="11" spans="1:40" x14ac:dyDescent="0.25">
      <c r="A11" t="str">
        <f t="shared" si="0"/>
        <v>UPE300</v>
      </c>
      <c r="B11" t="s">
        <v>5</v>
      </c>
      <c r="C11">
        <v>300</v>
      </c>
      <c r="D11">
        <v>44.4</v>
      </c>
      <c r="E11">
        <v>300</v>
      </c>
      <c r="F11">
        <v>100</v>
      </c>
      <c r="G11">
        <v>9.5</v>
      </c>
      <c r="H11">
        <v>15</v>
      </c>
      <c r="I11">
        <v>15</v>
      </c>
      <c r="J11">
        <v>56.6</v>
      </c>
      <c r="K11">
        <v>270</v>
      </c>
      <c r="L11">
        <v>240</v>
      </c>
      <c r="M11" t="s">
        <v>3</v>
      </c>
      <c r="N11">
        <v>27</v>
      </c>
      <c r="O11">
        <v>50</v>
      </c>
      <c r="P11">
        <v>55</v>
      </c>
      <c r="Q11">
        <v>0.96799999999999997</v>
      </c>
      <c r="R11">
        <v>21.78</v>
      </c>
      <c r="S11" t="s">
        <v>5</v>
      </c>
      <c r="T11">
        <v>300</v>
      </c>
      <c r="U11">
        <v>44.4</v>
      </c>
      <c r="V11">
        <v>7820</v>
      </c>
      <c r="W11">
        <v>522</v>
      </c>
      <c r="X11">
        <v>613</v>
      </c>
      <c r="Y11">
        <v>11.8</v>
      </c>
      <c r="Z11">
        <v>30.3</v>
      </c>
      <c r="AA11">
        <v>538</v>
      </c>
      <c r="AB11">
        <v>75.599999999999994</v>
      </c>
      <c r="AC11">
        <v>137</v>
      </c>
      <c r="AD11">
        <v>3.08</v>
      </c>
      <c r="AE11">
        <v>33.299999999999997</v>
      </c>
      <c r="AF11">
        <v>31.5</v>
      </c>
      <c r="AG11">
        <v>72.7</v>
      </c>
      <c r="AH11">
        <v>2.89</v>
      </c>
      <c r="AI11">
        <v>6.03</v>
      </c>
      <c r="AJ11">
        <v>1</v>
      </c>
      <c r="AK11">
        <v>1</v>
      </c>
      <c r="AL11">
        <v>1</v>
      </c>
      <c r="AM11">
        <v>1</v>
      </c>
      <c r="AN11" t="s">
        <v>7</v>
      </c>
    </row>
    <row r="12" spans="1:40" x14ac:dyDescent="0.25">
      <c r="A12" t="str">
        <f t="shared" si="0"/>
        <v>UPE330</v>
      </c>
      <c r="B12" t="s">
        <v>5</v>
      </c>
      <c r="C12">
        <v>330</v>
      </c>
      <c r="D12">
        <v>53.2</v>
      </c>
      <c r="E12">
        <v>330</v>
      </c>
      <c r="F12">
        <v>105</v>
      </c>
      <c r="G12">
        <v>11</v>
      </c>
      <c r="H12">
        <v>16</v>
      </c>
      <c r="I12">
        <v>18</v>
      </c>
      <c r="J12">
        <v>67.8</v>
      </c>
      <c r="K12">
        <v>298</v>
      </c>
      <c r="L12">
        <v>262</v>
      </c>
      <c r="M12" t="s">
        <v>3</v>
      </c>
      <c r="N12">
        <v>27</v>
      </c>
      <c r="O12">
        <v>54</v>
      </c>
      <c r="P12">
        <v>60</v>
      </c>
      <c r="Q12">
        <v>1.0429999999999999</v>
      </c>
      <c r="R12">
        <v>19.600000000000001</v>
      </c>
      <c r="S12" t="s">
        <v>5</v>
      </c>
      <c r="T12">
        <v>330</v>
      </c>
      <c r="U12">
        <v>53.2</v>
      </c>
      <c r="V12">
        <v>11010</v>
      </c>
      <c r="W12">
        <v>667</v>
      </c>
      <c r="X12">
        <v>792</v>
      </c>
      <c r="Y12">
        <v>12.7</v>
      </c>
      <c r="Z12">
        <v>38.799999999999997</v>
      </c>
      <c r="AA12">
        <v>681</v>
      </c>
      <c r="AB12">
        <v>89.7</v>
      </c>
      <c r="AC12">
        <v>156</v>
      </c>
      <c r="AD12">
        <v>3.17</v>
      </c>
      <c r="AE12">
        <v>37.5</v>
      </c>
      <c r="AF12">
        <v>45.2</v>
      </c>
      <c r="AG12">
        <v>112</v>
      </c>
      <c r="AH12">
        <v>2.9</v>
      </c>
      <c r="AI12">
        <v>6</v>
      </c>
      <c r="AJ12">
        <v>1</v>
      </c>
      <c r="AK12">
        <v>1</v>
      </c>
      <c r="AL12">
        <v>1</v>
      </c>
      <c r="AM12">
        <v>1</v>
      </c>
      <c r="AN12" t="s">
        <v>7</v>
      </c>
    </row>
    <row r="13" spans="1:40" x14ac:dyDescent="0.25">
      <c r="A13" t="str">
        <f t="shared" si="0"/>
        <v>UPE360</v>
      </c>
      <c r="B13" t="s">
        <v>5</v>
      </c>
      <c r="C13">
        <v>360</v>
      </c>
      <c r="D13">
        <v>61.2</v>
      </c>
      <c r="E13">
        <v>360</v>
      </c>
      <c r="F13">
        <v>110</v>
      </c>
      <c r="G13">
        <v>12</v>
      </c>
      <c r="H13">
        <v>17</v>
      </c>
      <c r="I13">
        <v>18</v>
      </c>
      <c r="J13">
        <v>77.900000000000006</v>
      </c>
      <c r="K13">
        <v>326</v>
      </c>
      <c r="L13">
        <v>290</v>
      </c>
      <c r="M13" t="s">
        <v>3</v>
      </c>
      <c r="N13">
        <v>27</v>
      </c>
      <c r="O13">
        <v>55</v>
      </c>
      <c r="P13">
        <v>65</v>
      </c>
      <c r="Q13">
        <v>1.121</v>
      </c>
      <c r="R13">
        <v>18.32</v>
      </c>
      <c r="S13" t="s">
        <v>5</v>
      </c>
      <c r="T13">
        <v>360</v>
      </c>
      <c r="U13">
        <v>61.2</v>
      </c>
      <c r="V13">
        <v>14830</v>
      </c>
      <c r="W13">
        <v>824</v>
      </c>
      <c r="X13">
        <v>982</v>
      </c>
      <c r="Y13">
        <v>13.8</v>
      </c>
      <c r="Z13">
        <v>45.6</v>
      </c>
      <c r="AA13">
        <v>844</v>
      </c>
      <c r="AB13">
        <v>105</v>
      </c>
      <c r="AC13">
        <v>178</v>
      </c>
      <c r="AD13">
        <v>3.29</v>
      </c>
      <c r="AE13">
        <v>39.5</v>
      </c>
      <c r="AF13">
        <v>58.5</v>
      </c>
      <c r="AG13">
        <v>166</v>
      </c>
      <c r="AH13">
        <v>2.97</v>
      </c>
      <c r="AI13">
        <v>6.12</v>
      </c>
      <c r="AJ13">
        <v>1</v>
      </c>
      <c r="AK13">
        <v>1</v>
      </c>
      <c r="AL13">
        <v>1</v>
      </c>
      <c r="AM13">
        <v>1</v>
      </c>
      <c r="AN13" t="s">
        <v>7</v>
      </c>
    </row>
    <row r="14" spans="1:40" x14ac:dyDescent="0.25">
      <c r="A14" t="str">
        <f t="shared" si="0"/>
        <v>UPE400</v>
      </c>
      <c r="B14" t="s">
        <v>5</v>
      </c>
      <c r="C14">
        <v>400</v>
      </c>
      <c r="D14">
        <v>72.2</v>
      </c>
      <c r="E14">
        <v>400</v>
      </c>
      <c r="F14">
        <v>115</v>
      </c>
      <c r="G14">
        <v>13.5</v>
      </c>
      <c r="H14">
        <v>18</v>
      </c>
      <c r="I14">
        <v>18</v>
      </c>
      <c r="J14">
        <v>91.9</v>
      </c>
      <c r="K14">
        <v>364</v>
      </c>
      <c r="L14">
        <v>328</v>
      </c>
      <c r="M14" t="s">
        <v>3</v>
      </c>
      <c r="N14">
        <v>27</v>
      </c>
      <c r="O14">
        <v>57</v>
      </c>
      <c r="P14">
        <v>70</v>
      </c>
      <c r="Q14">
        <v>1.218</v>
      </c>
      <c r="R14">
        <v>16.87</v>
      </c>
      <c r="S14" t="s">
        <v>5</v>
      </c>
      <c r="T14">
        <v>400</v>
      </c>
      <c r="U14">
        <v>72.2</v>
      </c>
      <c r="V14">
        <v>20980</v>
      </c>
      <c r="W14">
        <v>1050</v>
      </c>
      <c r="X14">
        <v>1260</v>
      </c>
      <c r="Y14">
        <v>15.1</v>
      </c>
      <c r="Z14">
        <v>56.2</v>
      </c>
      <c r="AA14">
        <v>1045</v>
      </c>
      <c r="AB14">
        <v>123</v>
      </c>
      <c r="AC14">
        <v>191</v>
      </c>
      <c r="AD14">
        <v>3.37</v>
      </c>
      <c r="AE14">
        <v>42</v>
      </c>
      <c r="AF14">
        <v>79.099999999999994</v>
      </c>
      <c r="AG14">
        <v>259</v>
      </c>
      <c r="AH14">
        <v>2.98</v>
      </c>
      <c r="AI14">
        <v>6.06</v>
      </c>
      <c r="AJ14">
        <v>1</v>
      </c>
      <c r="AK14">
        <v>1</v>
      </c>
      <c r="AL14">
        <v>1</v>
      </c>
      <c r="AM14">
        <v>1</v>
      </c>
      <c r="AN14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R268"/>
  <sheetViews>
    <sheetView workbookViewId="0"/>
  </sheetViews>
  <sheetFormatPr defaultRowHeight="15" x14ac:dyDescent="0.25"/>
  <sheetData>
    <row r="1" spans="1:14" x14ac:dyDescent="0.25">
      <c r="A1" t="str">
        <f t="shared" ref="A1:A268" si="0">"RHS"&amp;B1</f>
        <v>RHS20X20X2</v>
      </c>
      <c r="B1" t="str">
        <f t="shared" ref="B1:B268" si="1">C1&amp;"X"&amp;D1&amp;"X"&amp;E1</f>
        <v>20X20X2</v>
      </c>
      <c r="C1">
        <v>20</v>
      </c>
      <c r="D1">
        <v>20</v>
      </c>
      <c r="E1">
        <v>2</v>
      </c>
      <c r="F1">
        <v>3</v>
      </c>
      <c r="G1">
        <v>2</v>
      </c>
      <c r="H1">
        <v>1.4</v>
      </c>
      <c r="I1">
        <v>1.1000000000000001</v>
      </c>
      <c r="J1">
        <v>7.4999999999999997E-2</v>
      </c>
      <c r="K1">
        <v>0.73899999999999999</v>
      </c>
      <c r="L1">
        <v>0.73899999999999999</v>
      </c>
      <c r="M1">
        <v>0.93</v>
      </c>
      <c r="N1">
        <v>0.72699999999999998</v>
      </c>
    </row>
    <row r="2" spans="1:14" x14ac:dyDescent="0.25">
      <c r="A2" t="str">
        <f t="shared" si="0"/>
        <v>RHS20X20X2.5</v>
      </c>
      <c r="B2" t="str">
        <f t="shared" si="1"/>
        <v>20X20X2.5</v>
      </c>
      <c r="C2">
        <v>20</v>
      </c>
      <c r="D2">
        <v>20</v>
      </c>
      <c r="E2">
        <v>2.5</v>
      </c>
      <c r="F2">
        <v>3.8</v>
      </c>
      <c r="G2">
        <v>2.5</v>
      </c>
      <c r="H2">
        <v>1.68</v>
      </c>
      <c r="I2">
        <v>1.32</v>
      </c>
      <c r="J2">
        <v>7.3999999999999996E-2</v>
      </c>
      <c r="K2">
        <v>0.83499999999999996</v>
      </c>
      <c r="L2">
        <v>0.83499999999999996</v>
      </c>
      <c r="M2">
        <v>1.08</v>
      </c>
      <c r="N2">
        <v>0.70499999999999996</v>
      </c>
    </row>
    <row r="3" spans="1:14" x14ac:dyDescent="0.25">
      <c r="A3" t="str">
        <f t="shared" si="0"/>
        <v>RHS25X25X2</v>
      </c>
      <c r="B3" t="str">
        <f t="shared" si="1"/>
        <v>25X25X2</v>
      </c>
      <c r="C3">
        <v>25</v>
      </c>
      <c r="D3">
        <v>25</v>
      </c>
      <c r="E3">
        <v>2</v>
      </c>
      <c r="F3">
        <v>3</v>
      </c>
      <c r="G3">
        <v>2</v>
      </c>
      <c r="H3">
        <v>1.8</v>
      </c>
      <c r="I3">
        <v>1.41</v>
      </c>
      <c r="J3">
        <v>9.5000000000000001E-2</v>
      </c>
      <c r="K3">
        <v>1.56</v>
      </c>
      <c r="L3">
        <v>1.25</v>
      </c>
      <c r="M3">
        <v>1.53</v>
      </c>
      <c r="N3">
        <v>0.93200000000000005</v>
      </c>
    </row>
    <row r="4" spans="1:14" x14ac:dyDescent="0.25">
      <c r="A4" t="str">
        <f t="shared" si="0"/>
        <v>RHS25X25X2.5</v>
      </c>
      <c r="B4" t="str">
        <f t="shared" si="1"/>
        <v>25X25X2.5</v>
      </c>
      <c r="C4">
        <v>25</v>
      </c>
      <c r="D4">
        <v>25</v>
      </c>
      <c r="E4">
        <v>2.5</v>
      </c>
      <c r="F4">
        <v>3.8</v>
      </c>
      <c r="G4">
        <v>2.5</v>
      </c>
      <c r="H4">
        <v>2.1800000000000002</v>
      </c>
      <c r="I4">
        <v>1.71</v>
      </c>
      <c r="J4">
        <v>9.4E-2</v>
      </c>
      <c r="K4">
        <v>1.81</v>
      </c>
      <c r="L4">
        <v>1.44</v>
      </c>
      <c r="M4">
        <v>1.82</v>
      </c>
      <c r="N4">
        <v>0.90900000000000003</v>
      </c>
    </row>
    <row r="5" spans="1:14" x14ac:dyDescent="0.25">
      <c r="A5" t="str">
        <f t="shared" si="0"/>
        <v>RHS25X25X3</v>
      </c>
      <c r="B5" t="str">
        <f t="shared" si="1"/>
        <v>25X25X3</v>
      </c>
      <c r="C5">
        <v>25</v>
      </c>
      <c r="D5">
        <v>25</v>
      </c>
      <c r="E5">
        <v>3</v>
      </c>
      <c r="F5">
        <v>4.5</v>
      </c>
      <c r="G5">
        <v>3</v>
      </c>
      <c r="H5">
        <v>2.54</v>
      </c>
      <c r="I5">
        <v>2</v>
      </c>
      <c r="J5">
        <v>9.1999999999999998E-2</v>
      </c>
      <c r="K5">
        <v>2</v>
      </c>
      <c r="L5">
        <v>1.6</v>
      </c>
      <c r="M5">
        <v>2.06</v>
      </c>
      <c r="N5">
        <v>0.88600000000000001</v>
      </c>
    </row>
    <row r="6" spans="1:14" x14ac:dyDescent="0.25">
      <c r="A6" t="str">
        <f t="shared" si="0"/>
        <v>RHS30X30X2</v>
      </c>
      <c r="B6" t="str">
        <f t="shared" si="1"/>
        <v>30X30X2</v>
      </c>
      <c r="C6">
        <v>30</v>
      </c>
      <c r="D6">
        <v>30</v>
      </c>
      <c r="E6">
        <v>2</v>
      </c>
      <c r="F6">
        <v>3</v>
      </c>
      <c r="G6">
        <v>2</v>
      </c>
      <c r="H6">
        <v>2.2000000000000002</v>
      </c>
      <c r="I6">
        <v>1.72</v>
      </c>
      <c r="J6">
        <v>0.115</v>
      </c>
      <c r="K6">
        <v>2.84</v>
      </c>
      <c r="L6">
        <v>1.89</v>
      </c>
      <c r="M6">
        <v>2.29</v>
      </c>
      <c r="N6">
        <v>1.1399999999999999</v>
      </c>
    </row>
    <row r="7" spans="1:14" x14ac:dyDescent="0.25">
      <c r="A7" t="str">
        <f t="shared" si="0"/>
        <v>RHS30X30X2.5</v>
      </c>
      <c r="B7" t="str">
        <f t="shared" si="1"/>
        <v>30X30X2.5</v>
      </c>
      <c r="C7">
        <v>30</v>
      </c>
      <c r="D7">
        <v>30</v>
      </c>
      <c r="E7">
        <v>2.5</v>
      </c>
      <c r="F7">
        <v>3.8</v>
      </c>
      <c r="G7">
        <v>2.5</v>
      </c>
      <c r="H7">
        <v>2.68</v>
      </c>
      <c r="I7">
        <v>2.11</v>
      </c>
      <c r="J7">
        <v>0.114</v>
      </c>
      <c r="K7">
        <v>3.33</v>
      </c>
      <c r="L7">
        <v>2.2200000000000002</v>
      </c>
      <c r="M7">
        <v>2.74</v>
      </c>
      <c r="N7">
        <v>1.1100000000000001</v>
      </c>
    </row>
    <row r="8" spans="1:14" x14ac:dyDescent="0.25">
      <c r="A8" t="str">
        <f t="shared" si="0"/>
        <v>RHS30X30X3</v>
      </c>
      <c r="B8" t="str">
        <f t="shared" si="1"/>
        <v>30X30X3</v>
      </c>
      <c r="C8">
        <v>30</v>
      </c>
      <c r="D8">
        <v>30</v>
      </c>
      <c r="E8">
        <v>3</v>
      </c>
      <c r="F8">
        <v>4.5</v>
      </c>
      <c r="G8">
        <v>3</v>
      </c>
      <c r="H8">
        <v>3.14</v>
      </c>
      <c r="I8">
        <v>2.4700000000000002</v>
      </c>
      <c r="J8">
        <v>0.112</v>
      </c>
      <c r="K8">
        <v>3.74</v>
      </c>
      <c r="L8">
        <v>2.5</v>
      </c>
      <c r="M8">
        <v>3.14</v>
      </c>
      <c r="N8">
        <v>1.0900000000000001</v>
      </c>
    </row>
    <row r="9" spans="1:14" x14ac:dyDescent="0.25">
      <c r="A9" t="str">
        <f t="shared" si="0"/>
        <v>RHS40X40X2.5</v>
      </c>
      <c r="B9" t="str">
        <f t="shared" si="1"/>
        <v>40X40X2.5</v>
      </c>
      <c r="C9">
        <v>40</v>
      </c>
      <c r="D9">
        <v>40</v>
      </c>
      <c r="E9">
        <v>2.5</v>
      </c>
      <c r="F9">
        <v>3.8</v>
      </c>
      <c r="G9">
        <v>2.5</v>
      </c>
      <c r="H9">
        <v>3.68</v>
      </c>
      <c r="I9">
        <v>2.89</v>
      </c>
      <c r="J9">
        <v>0.154</v>
      </c>
      <c r="K9">
        <v>8.5399999999999991</v>
      </c>
      <c r="L9">
        <v>4.2699999999999996</v>
      </c>
      <c r="M9">
        <v>5.14</v>
      </c>
      <c r="N9">
        <v>1.52</v>
      </c>
    </row>
    <row r="10" spans="1:14" x14ac:dyDescent="0.25">
      <c r="A10" t="str">
        <f t="shared" si="0"/>
        <v>RHS40X40X3</v>
      </c>
      <c r="B10" t="str">
        <f t="shared" si="1"/>
        <v>40X40X3</v>
      </c>
      <c r="C10">
        <v>40</v>
      </c>
      <c r="D10">
        <v>40</v>
      </c>
      <c r="E10">
        <v>3</v>
      </c>
      <c r="F10">
        <v>4.5</v>
      </c>
      <c r="G10">
        <v>3</v>
      </c>
      <c r="H10">
        <v>4.34</v>
      </c>
      <c r="I10">
        <v>3.41</v>
      </c>
      <c r="J10">
        <v>0.152</v>
      </c>
      <c r="K10">
        <v>9.7799999999999994</v>
      </c>
      <c r="L10">
        <v>4.8899999999999997</v>
      </c>
      <c r="M10">
        <v>5.97</v>
      </c>
      <c r="N10">
        <v>1.5</v>
      </c>
    </row>
    <row r="11" spans="1:14" x14ac:dyDescent="0.25">
      <c r="A11" t="str">
        <f t="shared" si="0"/>
        <v>RHS40X40X4</v>
      </c>
      <c r="B11" t="str">
        <f t="shared" si="1"/>
        <v>40X40X4</v>
      </c>
      <c r="C11">
        <v>40</v>
      </c>
      <c r="D11">
        <v>40</v>
      </c>
      <c r="E11">
        <v>4</v>
      </c>
      <c r="F11">
        <v>6</v>
      </c>
      <c r="G11">
        <v>4</v>
      </c>
      <c r="H11">
        <v>5.59</v>
      </c>
      <c r="I11">
        <v>4.3899999999999997</v>
      </c>
      <c r="J11">
        <v>0.15</v>
      </c>
      <c r="K11">
        <v>11.8</v>
      </c>
      <c r="L11">
        <v>5.91</v>
      </c>
      <c r="M11">
        <v>7.44</v>
      </c>
      <c r="N11">
        <v>1.45</v>
      </c>
    </row>
    <row r="12" spans="1:14" x14ac:dyDescent="0.25">
      <c r="A12" t="str">
        <f t="shared" si="0"/>
        <v>RHS40X40X5</v>
      </c>
      <c r="B12" t="str">
        <f t="shared" si="1"/>
        <v>40X40X5</v>
      </c>
      <c r="C12">
        <v>40</v>
      </c>
      <c r="D12">
        <v>40</v>
      </c>
      <c r="E12">
        <v>5</v>
      </c>
      <c r="F12">
        <v>7.5</v>
      </c>
      <c r="G12">
        <v>5</v>
      </c>
      <c r="H12">
        <v>6.73</v>
      </c>
      <c r="I12">
        <v>5.28</v>
      </c>
      <c r="J12">
        <v>0.14699999999999999</v>
      </c>
      <c r="K12">
        <v>13.4</v>
      </c>
      <c r="L12">
        <v>6.68</v>
      </c>
      <c r="M12">
        <v>8.66</v>
      </c>
      <c r="N12">
        <v>1.41</v>
      </c>
    </row>
    <row r="13" spans="1:14" x14ac:dyDescent="0.25">
      <c r="A13" t="str">
        <f t="shared" si="0"/>
        <v>RHS50X50X2.5</v>
      </c>
      <c r="B13" t="str">
        <f t="shared" si="1"/>
        <v>50X50X2.5</v>
      </c>
      <c r="C13">
        <v>50</v>
      </c>
      <c r="D13">
        <v>50</v>
      </c>
      <c r="E13">
        <v>2.5</v>
      </c>
      <c r="F13">
        <v>3.8</v>
      </c>
      <c r="G13">
        <v>2.5</v>
      </c>
      <c r="H13">
        <v>4.68</v>
      </c>
      <c r="I13">
        <v>3.68</v>
      </c>
      <c r="J13">
        <v>0.19400000000000001</v>
      </c>
      <c r="K13">
        <v>17.5</v>
      </c>
      <c r="L13">
        <v>6.99</v>
      </c>
      <c r="M13">
        <v>8.2899999999999991</v>
      </c>
      <c r="N13">
        <v>1.93</v>
      </c>
    </row>
    <row r="14" spans="1:14" x14ac:dyDescent="0.25">
      <c r="A14" t="str">
        <f t="shared" si="0"/>
        <v>RHS50X50X3</v>
      </c>
      <c r="B14" t="str">
        <f t="shared" si="1"/>
        <v>50X50X3</v>
      </c>
      <c r="C14">
        <v>50</v>
      </c>
      <c r="D14">
        <v>50</v>
      </c>
      <c r="E14">
        <v>3</v>
      </c>
      <c r="F14">
        <v>4.5</v>
      </c>
      <c r="G14">
        <v>3</v>
      </c>
      <c r="H14">
        <v>5.54</v>
      </c>
      <c r="I14">
        <v>4.3499999999999996</v>
      </c>
      <c r="J14">
        <v>0.192</v>
      </c>
      <c r="K14">
        <v>20.2</v>
      </c>
      <c r="L14">
        <v>8.08</v>
      </c>
      <c r="M14">
        <v>9.6999999999999993</v>
      </c>
      <c r="N14">
        <v>1.91</v>
      </c>
    </row>
    <row r="15" spans="1:14" x14ac:dyDescent="0.25">
      <c r="A15" t="str">
        <f t="shared" si="0"/>
        <v>RHS50X50X4</v>
      </c>
      <c r="B15" t="str">
        <f t="shared" si="1"/>
        <v>50X50X4</v>
      </c>
      <c r="C15">
        <v>50</v>
      </c>
      <c r="D15">
        <v>50</v>
      </c>
      <c r="E15">
        <v>4</v>
      </c>
      <c r="F15">
        <v>6</v>
      </c>
      <c r="G15">
        <v>4</v>
      </c>
      <c r="H15">
        <v>7.19</v>
      </c>
      <c r="I15">
        <v>5.64</v>
      </c>
      <c r="J15">
        <v>0.19</v>
      </c>
      <c r="K15">
        <v>25</v>
      </c>
      <c r="L15">
        <v>9.99</v>
      </c>
      <c r="M15">
        <v>12.3</v>
      </c>
      <c r="N15">
        <v>1.86</v>
      </c>
    </row>
    <row r="16" spans="1:14" x14ac:dyDescent="0.25">
      <c r="A16" t="str">
        <f t="shared" si="0"/>
        <v>RHS50X50X5</v>
      </c>
      <c r="B16" t="str">
        <f t="shared" si="1"/>
        <v>50X50X5</v>
      </c>
      <c r="C16">
        <v>50</v>
      </c>
      <c r="D16">
        <v>50</v>
      </c>
      <c r="E16">
        <v>5</v>
      </c>
      <c r="F16">
        <v>7.5</v>
      </c>
      <c r="G16">
        <v>5</v>
      </c>
      <c r="H16">
        <v>8.73</v>
      </c>
      <c r="I16">
        <v>6.85</v>
      </c>
      <c r="J16">
        <v>0.187</v>
      </c>
      <c r="K16">
        <v>28.9</v>
      </c>
      <c r="L16">
        <v>11.6</v>
      </c>
      <c r="M16">
        <v>14.5</v>
      </c>
      <c r="N16">
        <v>1.82</v>
      </c>
    </row>
    <row r="17" spans="1:14" x14ac:dyDescent="0.25">
      <c r="A17" t="str">
        <f t="shared" si="0"/>
        <v>RHS50X50X6</v>
      </c>
      <c r="B17" t="str">
        <f t="shared" si="1"/>
        <v>50X50X6</v>
      </c>
      <c r="C17">
        <v>50</v>
      </c>
      <c r="D17">
        <v>50</v>
      </c>
      <c r="E17">
        <v>6</v>
      </c>
      <c r="F17">
        <v>9</v>
      </c>
      <c r="G17">
        <v>6</v>
      </c>
      <c r="H17">
        <v>10.199999999999999</v>
      </c>
      <c r="I17">
        <v>7.99</v>
      </c>
      <c r="J17">
        <v>0.185</v>
      </c>
      <c r="K17">
        <v>32</v>
      </c>
      <c r="L17">
        <v>12.8</v>
      </c>
      <c r="M17">
        <v>16.5</v>
      </c>
      <c r="N17">
        <v>1.77</v>
      </c>
    </row>
    <row r="18" spans="1:14" x14ac:dyDescent="0.25">
      <c r="A18" t="str">
        <f t="shared" si="0"/>
        <v>RHS50X50X6.3</v>
      </c>
      <c r="B18" t="str">
        <f t="shared" si="1"/>
        <v>50X50X6.3</v>
      </c>
      <c r="C18">
        <v>50</v>
      </c>
      <c r="D18">
        <v>50</v>
      </c>
      <c r="E18">
        <v>6.3</v>
      </c>
      <c r="F18">
        <v>9.5</v>
      </c>
      <c r="G18">
        <v>6.3</v>
      </c>
      <c r="H18">
        <v>10.6</v>
      </c>
      <c r="I18">
        <v>8.31</v>
      </c>
      <c r="J18">
        <v>0.184</v>
      </c>
      <c r="K18">
        <v>32.799999999999997</v>
      </c>
      <c r="L18">
        <v>13.1</v>
      </c>
      <c r="M18">
        <v>17</v>
      </c>
      <c r="N18">
        <v>1.76</v>
      </c>
    </row>
    <row r="19" spans="1:14" x14ac:dyDescent="0.25">
      <c r="A19" t="str">
        <f t="shared" si="0"/>
        <v>RHS60X60X2.5</v>
      </c>
      <c r="B19" t="str">
        <f t="shared" si="1"/>
        <v>60X60X2.5</v>
      </c>
      <c r="C19">
        <v>60</v>
      </c>
      <c r="D19">
        <v>60</v>
      </c>
      <c r="E19">
        <v>2.5</v>
      </c>
      <c r="F19">
        <v>3.8</v>
      </c>
      <c r="G19">
        <v>2.5</v>
      </c>
      <c r="H19">
        <v>5.68</v>
      </c>
      <c r="I19">
        <v>4.46</v>
      </c>
      <c r="J19">
        <v>0.23400000000000001</v>
      </c>
      <c r="K19">
        <v>31.1</v>
      </c>
      <c r="L19">
        <v>10.4</v>
      </c>
      <c r="M19">
        <v>12.2</v>
      </c>
      <c r="N19">
        <v>2.34</v>
      </c>
    </row>
    <row r="20" spans="1:14" x14ac:dyDescent="0.25">
      <c r="A20" t="str">
        <f t="shared" si="0"/>
        <v>RHS60X60X3</v>
      </c>
      <c r="B20" t="str">
        <f t="shared" si="1"/>
        <v>60X60X3</v>
      </c>
      <c r="C20">
        <v>60</v>
      </c>
      <c r="D20">
        <v>60</v>
      </c>
      <c r="E20">
        <v>3</v>
      </c>
      <c r="F20">
        <v>4.5</v>
      </c>
      <c r="G20">
        <v>3</v>
      </c>
      <c r="H20">
        <v>6.74</v>
      </c>
      <c r="I20">
        <v>5.29</v>
      </c>
      <c r="J20">
        <v>0.23200000000000001</v>
      </c>
      <c r="K20">
        <v>36.200000000000003</v>
      </c>
      <c r="L20">
        <v>12.1</v>
      </c>
      <c r="M20">
        <v>14.3</v>
      </c>
      <c r="N20">
        <v>2.3199999999999998</v>
      </c>
    </row>
    <row r="21" spans="1:14" x14ac:dyDescent="0.25">
      <c r="A21" t="str">
        <f t="shared" si="0"/>
        <v>RHS60X60X4</v>
      </c>
      <c r="B21" t="str">
        <f t="shared" si="1"/>
        <v>60X60X4</v>
      </c>
      <c r="C21">
        <v>60</v>
      </c>
      <c r="D21">
        <v>60</v>
      </c>
      <c r="E21">
        <v>4</v>
      </c>
      <c r="F21">
        <v>6</v>
      </c>
      <c r="G21">
        <v>4</v>
      </c>
      <c r="H21">
        <v>8.7899999999999991</v>
      </c>
      <c r="I21">
        <v>6.9</v>
      </c>
      <c r="J21">
        <v>0.23</v>
      </c>
      <c r="K21">
        <v>45.4</v>
      </c>
      <c r="L21">
        <v>15.1</v>
      </c>
      <c r="M21">
        <v>18.3</v>
      </c>
      <c r="N21">
        <v>2.27</v>
      </c>
    </row>
    <row r="22" spans="1:14" x14ac:dyDescent="0.25">
      <c r="A22" t="str">
        <f t="shared" si="0"/>
        <v>RHS60X60X5</v>
      </c>
      <c r="B22" t="str">
        <f t="shared" si="1"/>
        <v>60X60X5</v>
      </c>
      <c r="C22">
        <v>60</v>
      </c>
      <c r="D22">
        <v>60</v>
      </c>
      <c r="E22">
        <v>5</v>
      </c>
      <c r="F22">
        <v>7.5</v>
      </c>
      <c r="G22">
        <v>5</v>
      </c>
      <c r="H22">
        <v>10.7</v>
      </c>
      <c r="I22">
        <v>8.42</v>
      </c>
      <c r="J22">
        <v>0.22700000000000001</v>
      </c>
      <c r="K22">
        <v>53.3</v>
      </c>
      <c r="L22">
        <v>17.8</v>
      </c>
      <c r="M22">
        <v>21.9</v>
      </c>
      <c r="N22">
        <v>2.23</v>
      </c>
    </row>
    <row r="23" spans="1:14" x14ac:dyDescent="0.25">
      <c r="A23" t="str">
        <f t="shared" si="0"/>
        <v>RHS60X60X6</v>
      </c>
      <c r="B23" t="str">
        <f t="shared" si="1"/>
        <v>60X60X6</v>
      </c>
      <c r="C23">
        <v>60</v>
      </c>
      <c r="D23">
        <v>60</v>
      </c>
      <c r="E23">
        <v>6</v>
      </c>
      <c r="F23">
        <v>9</v>
      </c>
      <c r="G23">
        <v>6</v>
      </c>
      <c r="H23">
        <v>12.6</v>
      </c>
      <c r="I23">
        <v>9.8699999999999992</v>
      </c>
      <c r="J23">
        <v>0.22500000000000001</v>
      </c>
      <c r="K23">
        <v>59.9</v>
      </c>
      <c r="L23">
        <v>20</v>
      </c>
      <c r="M23">
        <v>25.1</v>
      </c>
      <c r="N23">
        <v>2.1800000000000002</v>
      </c>
    </row>
    <row r="24" spans="1:14" x14ac:dyDescent="0.25">
      <c r="A24" t="str">
        <f t="shared" si="0"/>
        <v>RHS60X60X6.3</v>
      </c>
      <c r="B24" t="str">
        <f t="shared" si="1"/>
        <v>60X60X6.3</v>
      </c>
      <c r="C24">
        <v>60</v>
      </c>
      <c r="D24">
        <v>60</v>
      </c>
      <c r="E24">
        <v>6.3</v>
      </c>
      <c r="F24">
        <v>9.5</v>
      </c>
      <c r="G24">
        <v>6.3</v>
      </c>
      <c r="H24">
        <v>13.1</v>
      </c>
      <c r="I24">
        <v>10.29</v>
      </c>
      <c r="J24">
        <v>0.224</v>
      </c>
      <c r="K24">
        <v>61.6</v>
      </c>
      <c r="L24">
        <v>20.5</v>
      </c>
      <c r="M24">
        <v>26</v>
      </c>
      <c r="N24">
        <v>2.17</v>
      </c>
    </row>
    <row r="25" spans="1:14" x14ac:dyDescent="0.25">
      <c r="A25" t="str">
        <f t="shared" si="0"/>
        <v>RHS60X60X8</v>
      </c>
      <c r="B25" t="str">
        <f t="shared" si="1"/>
        <v>60X60X8</v>
      </c>
      <c r="C25">
        <v>60</v>
      </c>
      <c r="D25">
        <v>60</v>
      </c>
      <c r="E25">
        <v>8</v>
      </c>
      <c r="F25">
        <v>12</v>
      </c>
      <c r="G25">
        <v>8</v>
      </c>
      <c r="H25">
        <v>16</v>
      </c>
      <c r="I25">
        <v>12.5</v>
      </c>
      <c r="J25">
        <v>0.219</v>
      </c>
      <c r="K25">
        <v>69.7</v>
      </c>
      <c r="L25">
        <v>23.2</v>
      </c>
      <c r="M25">
        <v>30.4</v>
      </c>
      <c r="N25">
        <v>2.09</v>
      </c>
    </row>
    <row r="26" spans="1:14" x14ac:dyDescent="0.25">
      <c r="A26" t="str">
        <f t="shared" si="0"/>
        <v>RHS70X70X3</v>
      </c>
      <c r="B26" t="str">
        <f t="shared" si="1"/>
        <v>70X70X3</v>
      </c>
      <c r="C26">
        <v>70</v>
      </c>
      <c r="D26">
        <v>70</v>
      </c>
      <c r="E26">
        <v>3</v>
      </c>
      <c r="F26">
        <v>4.5</v>
      </c>
      <c r="G26">
        <v>3</v>
      </c>
      <c r="H26">
        <v>7.94</v>
      </c>
      <c r="I26">
        <v>6.24</v>
      </c>
      <c r="J26">
        <v>0.27200000000000002</v>
      </c>
      <c r="K26">
        <v>59</v>
      </c>
      <c r="L26">
        <v>16.899999999999999</v>
      </c>
      <c r="M26">
        <v>19.899999999999999</v>
      </c>
      <c r="N26">
        <v>2.73</v>
      </c>
    </row>
    <row r="27" spans="1:14" x14ac:dyDescent="0.25">
      <c r="A27" t="str">
        <f t="shared" si="0"/>
        <v>RHS70X70X4</v>
      </c>
      <c r="B27" t="str">
        <f t="shared" si="1"/>
        <v>70X70X4</v>
      </c>
      <c r="C27">
        <v>70</v>
      </c>
      <c r="D27">
        <v>70</v>
      </c>
      <c r="E27">
        <v>4</v>
      </c>
      <c r="F27">
        <v>6</v>
      </c>
      <c r="G27">
        <v>4</v>
      </c>
      <c r="H27">
        <v>10.4</v>
      </c>
      <c r="I27">
        <v>8.15</v>
      </c>
      <c r="J27">
        <v>0.27</v>
      </c>
      <c r="K27">
        <v>74.7</v>
      </c>
      <c r="L27">
        <v>21.3</v>
      </c>
      <c r="M27">
        <v>25.5</v>
      </c>
      <c r="N27">
        <v>2.68</v>
      </c>
    </row>
    <row r="28" spans="1:14" x14ac:dyDescent="0.25">
      <c r="A28" t="str">
        <f t="shared" si="0"/>
        <v>RHS70X70X5</v>
      </c>
      <c r="B28" t="str">
        <f t="shared" si="1"/>
        <v>70X70X5</v>
      </c>
      <c r="C28">
        <v>70</v>
      </c>
      <c r="D28">
        <v>70</v>
      </c>
      <c r="E28">
        <v>5</v>
      </c>
      <c r="F28">
        <v>7.5</v>
      </c>
      <c r="G28">
        <v>5</v>
      </c>
      <c r="H28">
        <v>12.7</v>
      </c>
      <c r="I28">
        <v>9.99</v>
      </c>
      <c r="J28">
        <v>0.26700000000000002</v>
      </c>
      <c r="K28">
        <v>88.5</v>
      </c>
      <c r="L28">
        <v>25.3</v>
      </c>
      <c r="M28">
        <v>30.8</v>
      </c>
      <c r="N28">
        <v>2.64</v>
      </c>
    </row>
    <row r="29" spans="1:14" x14ac:dyDescent="0.25">
      <c r="A29" t="str">
        <f t="shared" si="0"/>
        <v>RHS70X70X6</v>
      </c>
      <c r="B29" t="str">
        <f t="shared" si="1"/>
        <v>70X70X6</v>
      </c>
      <c r="C29">
        <v>70</v>
      </c>
      <c r="D29">
        <v>70</v>
      </c>
      <c r="E29">
        <v>6</v>
      </c>
      <c r="F29">
        <v>9</v>
      </c>
      <c r="G29">
        <v>6</v>
      </c>
      <c r="H29">
        <v>15</v>
      </c>
      <c r="I29">
        <v>11.8</v>
      </c>
      <c r="J29">
        <v>0.26500000000000001</v>
      </c>
      <c r="K29">
        <v>101</v>
      </c>
      <c r="L29">
        <v>28.7</v>
      </c>
      <c r="M29">
        <v>35.5</v>
      </c>
      <c r="N29">
        <v>2.59</v>
      </c>
    </row>
    <row r="30" spans="1:14" x14ac:dyDescent="0.25">
      <c r="A30" t="str">
        <f t="shared" si="0"/>
        <v>RHS70X70X6.3</v>
      </c>
      <c r="B30" t="str">
        <f t="shared" si="1"/>
        <v>70X70X6.3</v>
      </c>
      <c r="C30">
        <v>70</v>
      </c>
      <c r="D30">
        <v>70</v>
      </c>
      <c r="E30">
        <v>6.3</v>
      </c>
      <c r="F30">
        <v>9.5</v>
      </c>
      <c r="G30">
        <v>6.3</v>
      </c>
      <c r="H30">
        <v>15.6</v>
      </c>
      <c r="I30">
        <v>12.3</v>
      </c>
      <c r="J30">
        <v>0.26400000000000001</v>
      </c>
      <c r="K30">
        <v>104</v>
      </c>
      <c r="L30">
        <v>29.7</v>
      </c>
      <c r="M30">
        <v>36.9</v>
      </c>
      <c r="N30">
        <v>2.58</v>
      </c>
    </row>
    <row r="31" spans="1:14" x14ac:dyDescent="0.25">
      <c r="A31" t="str">
        <f t="shared" si="0"/>
        <v>RHS70X70X8</v>
      </c>
      <c r="B31" t="str">
        <f t="shared" si="1"/>
        <v>70X70X8</v>
      </c>
      <c r="C31">
        <v>70</v>
      </c>
      <c r="D31">
        <v>70</v>
      </c>
      <c r="E31">
        <v>8</v>
      </c>
      <c r="F31">
        <v>12</v>
      </c>
      <c r="G31">
        <v>8</v>
      </c>
      <c r="H31">
        <v>19.2</v>
      </c>
      <c r="I31">
        <v>15</v>
      </c>
      <c r="J31">
        <v>0.25900000000000001</v>
      </c>
      <c r="K31">
        <v>120</v>
      </c>
      <c r="L31">
        <v>34.200000000000003</v>
      </c>
      <c r="M31">
        <v>43.8</v>
      </c>
      <c r="N31">
        <v>2.5</v>
      </c>
    </row>
    <row r="32" spans="1:14" x14ac:dyDescent="0.25">
      <c r="A32" t="str">
        <f t="shared" si="0"/>
        <v>RHS80X80X3</v>
      </c>
      <c r="B32" t="str">
        <f t="shared" si="1"/>
        <v>80X80X3</v>
      </c>
      <c r="C32">
        <v>80</v>
      </c>
      <c r="D32">
        <v>80</v>
      </c>
      <c r="E32">
        <v>3</v>
      </c>
      <c r="F32">
        <v>4.5</v>
      </c>
      <c r="G32">
        <v>3</v>
      </c>
      <c r="H32">
        <v>9.14</v>
      </c>
      <c r="I32">
        <v>7.18</v>
      </c>
      <c r="J32">
        <v>0.312</v>
      </c>
      <c r="K32">
        <v>89.8</v>
      </c>
      <c r="L32">
        <v>22.5</v>
      </c>
      <c r="M32">
        <v>26.3</v>
      </c>
      <c r="N32">
        <v>3.13</v>
      </c>
    </row>
    <row r="33" spans="1:14" x14ac:dyDescent="0.25">
      <c r="A33" t="str">
        <f t="shared" si="0"/>
        <v>RHS80X80X4</v>
      </c>
      <c r="B33" t="str">
        <f t="shared" si="1"/>
        <v>80X80X4</v>
      </c>
      <c r="C33">
        <v>80</v>
      </c>
      <c r="D33">
        <v>80</v>
      </c>
      <c r="E33">
        <v>4</v>
      </c>
      <c r="F33">
        <v>6</v>
      </c>
      <c r="G33">
        <v>4</v>
      </c>
      <c r="H33">
        <v>12</v>
      </c>
      <c r="I33">
        <v>9.41</v>
      </c>
      <c r="J33">
        <v>0.31</v>
      </c>
      <c r="K33">
        <v>114</v>
      </c>
      <c r="L33">
        <v>28.6</v>
      </c>
      <c r="M33">
        <v>34</v>
      </c>
      <c r="N33">
        <v>3.09</v>
      </c>
    </row>
    <row r="34" spans="1:14" x14ac:dyDescent="0.25">
      <c r="A34" t="str">
        <f t="shared" si="0"/>
        <v>RHS80X80X5</v>
      </c>
      <c r="B34" t="str">
        <f t="shared" si="1"/>
        <v>80X80X5</v>
      </c>
      <c r="C34">
        <v>80</v>
      </c>
      <c r="D34">
        <v>80</v>
      </c>
      <c r="E34">
        <v>5</v>
      </c>
      <c r="F34">
        <v>7.5</v>
      </c>
      <c r="G34">
        <v>5</v>
      </c>
      <c r="H34">
        <v>14.7</v>
      </c>
      <c r="I34">
        <v>11.6</v>
      </c>
      <c r="J34">
        <v>0.307</v>
      </c>
      <c r="K34">
        <v>137</v>
      </c>
      <c r="L34">
        <v>34.200000000000003</v>
      </c>
      <c r="M34">
        <v>41.1</v>
      </c>
      <c r="N34">
        <v>3.05</v>
      </c>
    </row>
    <row r="35" spans="1:14" x14ac:dyDescent="0.25">
      <c r="A35" t="str">
        <f t="shared" si="0"/>
        <v>RHS80X80X6</v>
      </c>
      <c r="B35" t="str">
        <f t="shared" si="1"/>
        <v>80X80X6</v>
      </c>
      <c r="C35">
        <v>80</v>
      </c>
      <c r="D35">
        <v>80</v>
      </c>
      <c r="E35">
        <v>6</v>
      </c>
      <c r="F35">
        <v>9</v>
      </c>
      <c r="G35">
        <v>6</v>
      </c>
      <c r="H35">
        <v>17.399999999999999</v>
      </c>
      <c r="I35">
        <v>13.6</v>
      </c>
      <c r="J35">
        <v>0.30499999999999999</v>
      </c>
      <c r="K35">
        <v>156</v>
      </c>
      <c r="L35">
        <v>39.1</v>
      </c>
      <c r="M35">
        <v>47.8</v>
      </c>
      <c r="N35">
        <v>3</v>
      </c>
    </row>
    <row r="36" spans="1:14" x14ac:dyDescent="0.25">
      <c r="A36" t="str">
        <f t="shared" si="0"/>
        <v>RHS80X80X6.3</v>
      </c>
      <c r="B36" t="str">
        <f t="shared" si="1"/>
        <v>80X80X6.3</v>
      </c>
      <c r="C36">
        <v>80</v>
      </c>
      <c r="D36">
        <v>80</v>
      </c>
      <c r="E36">
        <v>6.3</v>
      </c>
      <c r="F36">
        <v>9.5</v>
      </c>
      <c r="G36">
        <v>6.3</v>
      </c>
      <c r="H36">
        <v>18.100000000000001</v>
      </c>
      <c r="I36">
        <v>14.2</v>
      </c>
      <c r="J36">
        <v>0.30399999999999999</v>
      </c>
      <c r="K36">
        <v>162</v>
      </c>
      <c r="L36">
        <v>40.5</v>
      </c>
      <c r="M36">
        <v>49.7</v>
      </c>
      <c r="N36">
        <v>2.99</v>
      </c>
    </row>
    <row r="37" spans="1:14" x14ac:dyDescent="0.25">
      <c r="A37" t="str">
        <f t="shared" si="0"/>
        <v>RHS80X80X8</v>
      </c>
      <c r="B37" t="str">
        <f t="shared" si="1"/>
        <v>80X80X8</v>
      </c>
      <c r="C37">
        <v>80</v>
      </c>
      <c r="D37">
        <v>80</v>
      </c>
      <c r="E37">
        <v>8</v>
      </c>
      <c r="F37">
        <v>12</v>
      </c>
      <c r="G37">
        <v>8</v>
      </c>
      <c r="H37">
        <v>22.4</v>
      </c>
      <c r="I37">
        <v>17.5</v>
      </c>
      <c r="J37">
        <v>0.29899999999999999</v>
      </c>
      <c r="K37">
        <v>189</v>
      </c>
      <c r="L37">
        <v>47.3</v>
      </c>
      <c r="M37">
        <v>59.5</v>
      </c>
      <c r="N37">
        <v>2.91</v>
      </c>
    </row>
    <row r="38" spans="1:14" x14ac:dyDescent="0.25">
      <c r="A38" t="str">
        <f t="shared" si="0"/>
        <v>RHS90X90X4</v>
      </c>
      <c r="B38" t="str">
        <f t="shared" si="1"/>
        <v>90X90X4</v>
      </c>
      <c r="C38">
        <v>90</v>
      </c>
      <c r="D38">
        <v>90</v>
      </c>
      <c r="E38">
        <v>4</v>
      </c>
      <c r="F38">
        <v>6</v>
      </c>
      <c r="G38">
        <v>4</v>
      </c>
      <c r="H38">
        <v>13.6</v>
      </c>
      <c r="I38">
        <v>10.7</v>
      </c>
      <c r="J38">
        <v>0.35</v>
      </c>
      <c r="K38">
        <v>166</v>
      </c>
      <c r="L38">
        <v>37</v>
      </c>
      <c r="M38">
        <v>43.6</v>
      </c>
      <c r="N38">
        <v>3.5</v>
      </c>
    </row>
    <row r="39" spans="1:14" x14ac:dyDescent="0.25">
      <c r="A39" t="str">
        <f t="shared" si="0"/>
        <v>RHS90X90X5</v>
      </c>
      <c r="B39" t="str">
        <f t="shared" si="1"/>
        <v>90X90X5</v>
      </c>
      <c r="C39">
        <v>90</v>
      </c>
      <c r="D39">
        <v>90</v>
      </c>
      <c r="E39">
        <v>5</v>
      </c>
      <c r="F39">
        <v>7.5</v>
      </c>
      <c r="G39">
        <v>5</v>
      </c>
      <c r="H39">
        <v>16.100000000000001</v>
      </c>
      <c r="I39">
        <v>13.1</v>
      </c>
      <c r="J39">
        <v>0.34699999999999998</v>
      </c>
      <c r="K39">
        <v>200</v>
      </c>
      <c r="L39">
        <v>44.4</v>
      </c>
      <c r="M39">
        <v>53</v>
      </c>
      <c r="N39">
        <v>3.45</v>
      </c>
    </row>
    <row r="40" spans="1:14" x14ac:dyDescent="0.25">
      <c r="A40" t="str">
        <f t="shared" si="0"/>
        <v>RHS90X90X6</v>
      </c>
      <c r="B40" t="str">
        <f t="shared" si="1"/>
        <v>90X90X6</v>
      </c>
      <c r="C40">
        <v>90</v>
      </c>
      <c r="D40">
        <v>90</v>
      </c>
      <c r="E40">
        <v>6</v>
      </c>
      <c r="F40">
        <v>9</v>
      </c>
      <c r="G40">
        <v>6</v>
      </c>
      <c r="H40">
        <v>19.8</v>
      </c>
      <c r="I40">
        <v>15.5</v>
      </c>
      <c r="J40">
        <v>0.34499999999999997</v>
      </c>
      <c r="K40">
        <v>230</v>
      </c>
      <c r="L40">
        <v>51.1</v>
      </c>
      <c r="M40">
        <v>61.8</v>
      </c>
      <c r="N40">
        <v>3.41</v>
      </c>
    </row>
    <row r="41" spans="1:14" x14ac:dyDescent="0.25">
      <c r="A41" t="str">
        <f t="shared" si="0"/>
        <v>RHS90X90X6.3</v>
      </c>
      <c r="B41" t="str">
        <f t="shared" si="1"/>
        <v>90X90X6.3</v>
      </c>
      <c r="C41">
        <v>90</v>
      </c>
      <c r="D41">
        <v>90</v>
      </c>
      <c r="E41">
        <v>6.3</v>
      </c>
      <c r="F41">
        <v>9.5</v>
      </c>
      <c r="G41">
        <v>6.3</v>
      </c>
      <c r="H41">
        <v>20.7</v>
      </c>
      <c r="I41">
        <v>16.2</v>
      </c>
      <c r="J41">
        <v>0.34399999999999997</v>
      </c>
      <c r="K41">
        <v>238</v>
      </c>
      <c r="L41">
        <v>52.95</v>
      </c>
      <c r="M41">
        <v>64.3</v>
      </c>
      <c r="N41">
        <v>3.4</v>
      </c>
    </row>
    <row r="42" spans="1:14" x14ac:dyDescent="0.25">
      <c r="A42" t="str">
        <f t="shared" si="0"/>
        <v>RHS90X90X8</v>
      </c>
      <c r="B42" t="str">
        <f t="shared" si="1"/>
        <v>90X90X8</v>
      </c>
      <c r="C42">
        <v>90</v>
      </c>
      <c r="D42">
        <v>90</v>
      </c>
      <c r="E42">
        <v>8</v>
      </c>
      <c r="F42">
        <v>12</v>
      </c>
      <c r="G42">
        <v>8</v>
      </c>
      <c r="H42">
        <v>25.6</v>
      </c>
      <c r="I42">
        <v>20.100000000000001</v>
      </c>
      <c r="J42">
        <v>0.33900000000000002</v>
      </c>
      <c r="K42">
        <v>281</v>
      </c>
      <c r="L42">
        <v>62.6</v>
      </c>
      <c r="M42">
        <v>77.599999999999994</v>
      </c>
      <c r="N42">
        <v>3.32</v>
      </c>
    </row>
    <row r="43" spans="1:14" x14ac:dyDescent="0.25">
      <c r="A43" t="str">
        <f t="shared" si="0"/>
        <v>RHS100X100X4</v>
      </c>
      <c r="B43" t="str">
        <f t="shared" si="1"/>
        <v>100X100X4</v>
      </c>
      <c r="C43">
        <v>100</v>
      </c>
      <c r="D43">
        <v>100</v>
      </c>
      <c r="E43">
        <v>4</v>
      </c>
      <c r="F43">
        <v>6</v>
      </c>
      <c r="G43">
        <v>4</v>
      </c>
      <c r="H43">
        <v>15.2</v>
      </c>
      <c r="I43">
        <v>11.9</v>
      </c>
      <c r="J43">
        <v>0.39</v>
      </c>
      <c r="K43">
        <v>232</v>
      </c>
      <c r="L43">
        <v>46.4</v>
      </c>
      <c r="M43">
        <v>54.4</v>
      </c>
      <c r="N43">
        <v>3.91</v>
      </c>
    </row>
    <row r="44" spans="1:14" x14ac:dyDescent="0.25">
      <c r="A44" t="str">
        <f t="shared" si="0"/>
        <v>RHS100X100X5</v>
      </c>
      <c r="B44" t="str">
        <f t="shared" si="1"/>
        <v>100X100X5</v>
      </c>
      <c r="C44">
        <v>100</v>
      </c>
      <c r="D44">
        <v>100</v>
      </c>
      <c r="E44">
        <v>5</v>
      </c>
      <c r="F44">
        <v>7.5</v>
      </c>
      <c r="G44">
        <v>5</v>
      </c>
      <c r="H44">
        <v>18.7</v>
      </c>
      <c r="I44">
        <v>14.7</v>
      </c>
      <c r="J44">
        <v>0.38700000000000001</v>
      </c>
      <c r="K44">
        <v>279</v>
      </c>
      <c r="L44">
        <v>55.9</v>
      </c>
      <c r="M44">
        <v>66.400000000000006</v>
      </c>
      <c r="N44">
        <v>3.86</v>
      </c>
    </row>
    <row r="45" spans="1:14" x14ac:dyDescent="0.25">
      <c r="A45" t="str">
        <f t="shared" si="0"/>
        <v>RHS100X100X6</v>
      </c>
      <c r="B45" t="str">
        <f t="shared" si="1"/>
        <v>100X100X6</v>
      </c>
      <c r="C45">
        <v>100</v>
      </c>
      <c r="D45">
        <v>100</v>
      </c>
      <c r="E45">
        <v>6</v>
      </c>
      <c r="F45">
        <v>9</v>
      </c>
      <c r="G45">
        <v>6</v>
      </c>
      <c r="H45">
        <v>22.2</v>
      </c>
      <c r="I45">
        <v>17.399999999999999</v>
      </c>
      <c r="J45">
        <v>0.38500000000000001</v>
      </c>
      <c r="K45">
        <v>323</v>
      </c>
      <c r="L45">
        <v>64.599999999999994</v>
      </c>
      <c r="M45">
        <v>77.599999999999994</v>
      </c>
      <c r="N45">
        <v>3.82</v>
      </c>
    </row>
    <row r="46" spans="1:14" x14ac:dyDescent="0.25">
      <c r="A46" t="str">
        <f t="shared" si="0"/>
        <v>RHS100X100X6.3</v>
      </c>
      <c r="B46" t="str">
        <f t="shared" si="1"/>
        <v>100X100X6.3</v>
      </c>
      <c r="C46">
        <v>100</v>
      </c>
      <c r="D46">
        <v>100</v>
      </c>
      <c r="E46">
        <v>6.3</v>
      </c>
      <c r="F46">
        <v>9.5</v>
      </c>
      <c r="G46">
        <v>6.3</v>
      </c>
      <c r="H46">
        <v>23.2</v>
      </c>
      <c r="I46">
        <v>18.2</v>
      </c>
      <c r="J46">
        <v>0.38400000000000001</v>
      </c>
      <c r="K46">
        <v>336</v>
      </c>
      <c r="L46">
        <v>67.099999999999994</v>
      </c>
      <c r="M46">
        <v>80.900000000000006</v>
      </c>
      <c r="N46">
        <v>3.8</v>
      </c>
    </row>
    <row r="47" spans="1:14" x14ac:dyDescent="0.25">
      <c r="A47" t="str">
        <f t="shared" si="0"/>
        <v>RHS100X100X8</v>
      </c>
      <c r="B47" t="str">
        <f t="shared" si="1"/>
        <v>100X100X8</v>
      </c>
      <c r="C47">
        <v>100</v>
      </c>
      <c r="D47">
        <v>100</v>
      </c>
      <c r="E47">
        <v>8</v>
      </c>
      <c r="F47">
        <v>12</v>
      </c>
      <c r="G47">
        <v>8</v>
      </c>
      <c r="H47">
        <v>28.8</v>
      </c>
      <c r="I47">
        <v>22.6</v>
      </c>
      <c r="J47">
        <v>0.379</v>
      </c>
      <c r="K47">
        <v>400</v>
      </c>
      <c r="L47">
        <v>79.900000000000006</v>
      </c>
      <c r="M47">
        <v>98.2</v>
      </c>
      <c r="N47">
        <v>3.73</v>
      </c>
    </row>
    <row r="48" spans="1:14" x14ac:dyDescent="0.25">
      <c r="A48" t="str">
        <f t="shared" si="0"/>
        <v>RHS100X100X10</v>
      </c>
      <c r="B48" t="str">
        <f t="shared" si="1"/>
        <v>100X100X10</v>
      </c>
      <c r="C48">
        <v>100</v>
      </c>
      <c r="D48">
        <v>100</v>
      </c>
      <c r="E48">
        <v>10</v>
      </c>
      <c r="F48">
        <v>15</v>
      </c>
      <c r="G48">
        <v>10</v>
      </c>
      <c r="H48">
        <v>34.9</v>
      </c>
      <c r="I48">
        <v>27.4</v>
      </c>
      <c r="J48">
        <v>0.374</v>
      </c>
      <c r="K48">
        <v>462</v>
      </c>
      <c r="L48">
        <v>92.4</v>
      </c>
      <c r="M48">
        <v>116</v>
      </c>
      <c r="N48">
        <v>3.64</v>
      </c>
    </row>
    <row r="49" spans="1:14" x14ac:dyDescent="0.25">
      <c r="A49" t="str">
        <f t="shared" si="0"/>
        <v>RHS120X120X5</v>
      </c>
      <c r="B49" t="str">
        <f t="shared" si="1"/>
        <v>120X120X5</v>
      </c>
      <c r="C49">
        <v>120</v>
      </c>
      <c r="D49">
        <v>120</v>
      </c>
      <c r="E49">
        <v>5</v>
      </c>
      <c r="F49">
        <v>7.5</v>
      </c>
      <c r="G49">
        <v>5</v>
      </c>
      <c r="H49">
        <v>22.7</v>
      </c>
      <c r="I49">
        <v>17.8</v>
      </c>
      <c r="J49">
        <v>0.46700000000000003</v>
      </c>
      <c r="K49">
        <v>498</v>
      </c>
      <c r="L49">
        <v>83</v>
      </c>
      <c r="M49">
        <v>97.6</v>
      </c>
      <c r="N49">
        <v>4.68</v>
      </c>
    </row>
    <row r="50" spans="1:14" x14ac:dyDescent="0.25">
      <c r="A50" t="str">
        <f t="shared" si="0"/>
        <v>RHS120X120X6</v>
      </c>
      <c r="B50" t="str">
        <f t="shared" si="1"/>
        <v>120X120X6</v>
      </c>
      <c r="C50">
        <v>120</v>
      </c>
      <c r="D50">
        <v>120</v>
      </c>
      <c r="E50">
        <v>6</v>
      </c>
      <c r="F50">
        <v>9</v>
      </c>
      <c r="G50">
        <v>6</v>
      </c>
      <c r="H50">
        <v>27</v>
      </c>
      <c r="I50">
        <v>21.2</v>
      </c>
      <c r="J50">
        <v>0.46500000000000002</v>
      </c>
      <c r="K50">
        <v>579</v>
      </c>
      <c r="L50">
        <v>96.6</v>
      </c>
      <c r="M50">
        <v>115</v>
      </c>
      <c r="N50">
        <v>4.63</v>
      </c>
    </row>
    <row r="51" spans="1:14" x14ac:dyDescent="0.25">
      <c r="A51" t="str">
        <f t="shared" si="0"/>
        <v>RHS120X120X6.3</v>
      </c>
      <c r="B51" t="str">
        <f t="shared" si="1"/>
        <v>120X120X6.3</v>
      </c>
      <c r="C51">
        <v>120</v>
      </c>
      <c r="D51">
        <v>120</v>
      </c>
      <c r="E51">
        <v>6.3</v>
      </c>
      <c r="F51">
        <v>9.5</v>
      </c>
      <c r="G51">
        <v>6.3</v>
      </c>
      <c r="H51">
        <v>28.2</v>
      </c>
      <c r="I51">
        <v>22.2</v>
      </c>
      <c r="J51">
        <v>0.46400000000000002</v>
      </c>
      <c r="K51">
        <v>603</v>
      </c>
      <c r="L51">
        <v>100</v>
      </c>
      <c r="M51">
        <v>120</v>
      </c>
      <c r="N51">
        <v>4.62</v>
      </c>
    </row>
    <row r="52" spans="1:14" x14ac:dyDescent="0.25">
      <c r="A52" t="str">
        <f t="shared" si="0"/>
        <v>RHS120X120X8</v>
      </c>
      <c r="B52" t="str">
        <f t="shared" si="1"/>
        <v>120X120X8</v>
      </c>
      <c r="C52">
        <v>120</v>
      </c>
      <c r="D52">
        <v>120</v>
      </c>
      <c r="E52">
        <v>8</v>
      </c>
      <c r="F52">
        <v>12</v>
      </c>
      <c r="G52">
        <v>8</v>
      </c>
      <c r="H52">
        <v>35.200000000000003</v>
      </c>
      <c r="I52">
        <v>27.6</v>
      </c>
      <c r="J52">
        <v>0.45900000000000002</v>
      </c>
      <c r="K52">
        <v>726</v>
      </c>
      <c r="L52">
        <v>121</v>
      </c>
      <c r="M52">
        <v>146</v>
      </c>
      <c r="N52">
        <v>4.55</v>
      </c>
    </row>
    <row r="53" spans="1:14" x14ac:dyDescent="0.25">
      <c r="A53" t="str">
        <f t="shared" si="0"/>
        <v>RHS120X120X10</v>
      </c>
      <c r="B53" t="str">
        <f t="shared" si="1"/>
        <v>120X120X10</v>
      </c>
      <c r="C53">
        <v>120</v>
      </c>
      <c r="D53">
        <v>120</v>
      </c>
      <c r="E53">
        <v>10</v>
      </c>
      <c r="F53">
        <v>15</v>
      </c>
      <c r="G53">
        <v>10</v>
      </c>
      <c r="H53">
        <v>42.9</v>
      </c>
      <c r="I53">
        <v>33.700000000000003</v>
      </c>
      <c r="J53">
        <v>0.45400000000000001</v>
      </c>
      <c r="K53">
        <v>852</v>
      </c>
      <c r="L53">
        <v>142</v>
      </c>
      <c r="M53">
        <v>175</v>
      </c>
      <c r="N53">
        <v>4.46</v>
      </c>
    </row>
    <row r="54" spans="1:14" x14ac:dyDescent="0.25">
      <c r="A54" t="str">
        <f t="shared" si="0"/>
        <v>RHS120X120X12</v>
      </c>
      <c r="B54" t="str">
        <f t="shared" si="1"/>
        <v>120X120X12</v>
      </c>
      <c r="C54">
        <v>120</v>
      </c>
      <c r="D54">
        <v>120</v>
      </c>
      <c r="E54">
        <v>12</v>
      </c>
      <c r="F54">
        <v>18</v>
      </c>
      <c r="G54">
        <v>12</v>
      </c>
      <c r="H54">
        <v>50.3</v>
      </c>
      <c r="I54">
        <v>39.5</v>
      </c>
      <c r="J54">
        <v>0.44900000000000001</v>
      </c>
      <c r="K54">
        <v>958</v>
      </c>
      <c r="L54">
        <v>160</v>
      </c>
      <c r="M54">
        <v>201</v>
      </c>
      <c r="N54">
        <v>4.3600000000000003</v>
      </c>
    </row>
    <row r="55" spans="1:14" x14ac:dyDescent="0.25">
      <c r="A55" t="str">
        <f t="shared" si="0"/>
        <v>RHS120X120X12.5</v>
      </c>
      <c r="B55" t="str">
        <f t="shared" si="1"/>
        <v>120X120X12.5</v>
      </c>
      <c r="C55">
        <v>120</v>
      </c>
      <c r="D55">
        <v>120</v>
      </c>
      <c r="E55">
        <v>12.5</v>
      </c>
      <c r="F55">
        <v>18.8</v>
      </c>
      <c r="G55">
        <v>12.5</v>
      </c>
      <c r="H55">
        <v>52.1</v>
      </c>
      <c r="I55">
        <v>40.9</v>
      </c>
      <c r="J55">
        <v>0.44800000000000001</v>
      </c>
      <c r="K55">
        <v>982</v>
      </c>
      <c r="L55">
        <v>164</v>
      </c>
      <c r="M55">
        <v>207</v>
      </c>
      <c r="N55">
        <v>4.34</v>
      </c>
    </row>
    <row r="56" spans="1:14" x14ac:dyDescent="0.25">
      <c r="A56" t="str">
        <f t="shared" si="0"/>
        <v>RHS140X140X5</v>
      </c>
      <c r="B56" t="str">
        <f t="shared" si="1"/>
        <v>140X140X5</v>
      </c>
      <c r="C56">
        <v>140</v>
      </c>
      <c r="D56">
        <v>140</v>
      </c>
      <c r="E56">
        <v>5</v>
      </c>
      <c r="F56">
        <v>7.5</v>
      </c>
      <c r="G56">
        <v>5</v>
      </c>
      <c r="H56">
        <v>26.7</v>
      </c>
      <c r="I56">
        <v>21</v>
      </c>
      <c r="J56">
        <v>0.54700000000000004</v>
      </c>
      <c r="K56">
        <v>807</v>
      </c>
      <c r="L56">
        <v>115</v>
      </c>
      <c r="M56">
        <v>135</v>
      </c>
      <c r="N56">
        <v>5.5</v>
      </c>
    </row>
    <row r="57" spans="1:14" x14ac:dyDescent="0.25">
      <c r="A57" t="str">
        <f t="shared" si="0"/>
        <v>RHS140X140X6</v>
      </c>
      <c r="B57" t="str">
        <f t="shared" si="1"/>
        <v>140X140X6</v>
      </c>
      <c r="C57">
        <v>140</v>
      </c>
      <c r="D57">
        <v>140</v>
      </c>
      <c r="E57">
        <v>6</v>
      </c>
      <c r="F57">
        <v>9</v>
      </c>
      <c r="G57">
        <v>6</v>
      </c>
      <c r="H57">
        <v>31.8</v>
      </c>
      <c r="I57">
        <v>24.9</v>
      </c>
      <c r="J57">
        <v>0.54500000000000004</v>
      </c>
      <c r="K57">
        <v>944</v>
      </c>
      <c r="L57">
        <v>135</v>
      </c>
      <c r="M57">
        <v>159</v>
      </c>
      <c r="N57">
        <v>5.45</v>
      </c>
    </row>
    <row r="58" spans="1:14" x14ac:dyDescent="0.25">
      <c r="A58" t="str">
        <f t="shared" si="0"/>
        <v>RHS140X140X6.3</v>
      </c>
      <c r="B58" t="str">
        <f t="shared" si="1"/>
        <v>140X140X6.3</v>
      </c>
      <c r="C58">
        <v>140</v>
      </c>
      <c r="D58">
        <v>140</v>
      </c>
      <c r="E58">
        <v>6.3</v>
      </c>
      <c r="F58">
        <v>9.5</v>
      </c>
      <c r="G58">
        <v>6.3</v>
      </c>
      <c r="H58">
        <v>33.299999999999997</v>
      </c>
      <c r="I58">
        <v>26.1</v>
      </c>
      <c r="J58">
        <v>0.54400000000000004</v>
      </c>
      <c r="K58">
        <v>984</v>
      </c>
      <c r="L58">
        <v>141</v>
      </c>
      <c r="M58">
        <v>166</v>
      </c>
      <c r="N58">
        <v>5.44</v>
      </c>
    </row>
    <row r="59" spans="1:14" x14ac:dyDescent="0.25">
      <c r="A59" t="str">
        <f t="shared" si="0"/>
        <v>RHS140X140X8</v>
      </c>
      <c r="B59" t="str">
        <f t="shared" si="1"/>
        <v>140X140X8</v>
      </c>
      <c r="C59">
        <v>140</v>
      </c>
      <c r="D59">
        <v>140</v>
      </c>
      <c r="E59">
        <v>8</v>
      </c>
      <c r="F59">
        <v>12</v>
      </c>
      <c r="G59">
        <v>8</v>
      </c>
      <c r="H59">
        <v>41.6</v>
      </c>
      <c r="I59">
        <v>32.6</v>
      </c>
      <c r="J59">
        <v>0.53900000000000003</v>
      </c>
      <c r="K59">
        <v>1195</v>
      </c>
      <c r="L59">
        <v>171</v>
      </c>
      <c r="M59">
        <v>204</v>
      </c>
      <c r="N59">
        <v>5.36</v>
      </c>
    </row>
    <row r="60" spans="1:14" x14ac:dyDescent="0.25">
      <c r="A60" t="str">
        <f t="shared" si="0"/>
        <v>RHS140X140X10</v>
      </c>
      <c r="B60" t="str">
        <f t="shared" si="1"/>
        <v>140X140X10</v>
      </c>
      <c r="C60">
        <v>140</v>
      </c>
      <c r="D60">
        <v>140</v>
      </c>
      <c r="E60">
        <v>10</v>
      </c>
      <c r="F60">
        <v>15</v>
      </c>
      <c r="G60">
        <v>10</v>
      </c>
      <c r="H60">
        <v>50.9</v>
      </c>
      <c r="I60">
        <v>40</v>
      </c>
      <c r="J60">
        <v>0.53400000000000003</v>
      </c>
      <c r="K60">
        <v>1416</v>
      </c>
      <c r="L60">
        <v>202</v>
      </c>
      <c r="M60">
        <v>246</v>
      </c>
      <c r="N60">
        <v>5.27</v>
      </c>
    </row>
    <row r="61" spans="1:14" x14ac:dyDescent="0.25">
      <c r="A61" t="str">
        <f t="shared" si="0"/>
        <v>RHS140X140X12</v>
      </c>
      <c r="B61" t="str">
        <f t="shared" si="1"/>
        <v>140X140X12</v>
      </c>
      <c r="C61">
        <v>140</v>
      </c>
      <c r="D61">
        <v>140</v>
      </c>
      <c r="E61">
        <v>12</v>
      </c>
      <c r="F61">
        <v>18</v>
      </c>
      <c r="G61">
        <v>12</v>
      </c>
      <c r="H61">
        <v>59.9</v>
      </c>
      <c r="I61">
        <v>47</v>
      </c>
      <c r="J61">
        <v>0.52900000000000003</v>
      </c>
      <c r="K61">
        <v>1609</v>
      </c>
      <c r="L61">
        <v>230</v>
      </c>
      <c r="M61">
        <v>284</v>
      </c>
      <c r="N61">
        <v>5.18</v>
      </c>
    </row>
    <row r="62" spans="1:14" x14ac:dyDescent="0.25">
      <c r="A62" t="str">
        <f t="shared" si="0"/>
        <v>RHS140X140X12.5</v>
      </c>
      <c r="B62" t="str">
        <f t="shared" si="1"/>
        <v>140X140X12.5</v>
      </c>
      <c r="C62">
        <v>140</v>
      </c>
      <c r="D62">
        <v>140</v>
      </c>
      <c r="E62">
        <v>12.5</v>
      </c>
      <c r="F62">
        <v>18.8</v>
      </c>
      <c r="G62">
        <v>12.5</v>
      </c>
      <c r="H62">
        <v>62.1</v>
      </c>
      <c r="I62">
        <v>48.7</v>
      </c>
      <c r="J62">
        <v>0.52800000000000002</v>
      </c>
      <c r="K62">
        <v>1653</v>
      </c>
      <c r="L62">
        <v>236</v>
      </c>
      <c r="M62">
        <v>293</v>
      </c>
      <c r="N62">
        <v>5.16</v>
      </c>
    </row>
    <row r="63" spans="1:14" x14ac:dyDescent="0.25">
      <c r="A63" t="str">
        <f t="shared" si="0"/>
        <v>RHS150X150X5</v>
      </c>
      <c r="B63" t="str">
        <f t="shared" si="1"/>
        <v>150X150X5</v>
      </c>
      <c r="C63">
        <v>150</v>
      </c>
      <c r="D63">
        <v>150</v>
      </c>
      <c r="E63">
        <v>5</v>
      </c>
      <c r="F63">
        <v>7.5</v>
      </c>
      <c r="G63">
        <v>5</v>
      </c>
      <c r="H63">
        <v>28.7</v>
      </c>
      <c r="I63">
        <v>22.6</v>
      </c>
      <c r="J63">
        <v>0.58699999999999997</v>
      </c>
      <c r="K63">
        <v>1002</v>
      </c>
      <c r="L63">
        <v>134</v>
      </c>
      <c r="M63">
        <v>156</v>
      </c>
      <c r="N63">
        <v>5.9</v>
      </c>
    </row>
    <row r="64" spans="1:14" x14ac:dyDescent="0.25">
      <c r="A64" t="str">
        <f t="shared" si="0"/>
        <v>RHS150X150X6</v>
      </c>
      <c r="B64" t="str">
        <f t="shared" si="1"/>
        <v>150X150X6</v>
      </c>
      <c r="C64">
        <v>150</v>
      </c>
      <c r="D64">
        <v>150</v>
      </c>
      <c r="E64">
        <v>6</v>
      </c>
      <c r="F64">
        <v>9</v>
      </c>
      <c r="G64">
        <v>6</v>
      </c>
      <c r="H64">
        <v>34.200000000000003</v>
      </c>
      <c r="I64">
        <v>26.8</v>
      </c>
      <c r="J64">
        <v>0.58499999999999996</v>
      </c>
      <c r="K64">
        <v>1174</v>
      </c>
      <c r="L64">
        <v>156</v>
      </c>
      <c r="M64">
        <v>184</v>
      </c>
      <c r="N64">
        <v>5.86</v>
      </c>
    </row>
    <row r="65" spans="1:14" x14ac:dyDescent="0.25">
      <c r="A65" t="str">
        <f t="shared" si="0"/>
        <v>RHS150X150X6.3</v>
      </c>
      <c r="B65" t="str">
        <f t="shared" si="1"/>
        <v>150X150X6.3</v>
      </c>
      <c r="C65">
        <v>150</v>
      </c>
      <c r="D65">
        <v>150</v>
      </c>
      <c r="E65">
        <v>6.3</v>
      </c>
      <c r="F65">
        <v>9.5</v>
      </c>
      <c r="G65">
        <v>6.3</v>
      </c>
      <c r="H65">
        <v>35.799999999999997</v>
      </c>
      <c r="I65">
        <v>28.1</v>
      </c>
      <c r="J65">
        <v>0.58399999999999996</v>
      </c>
      <c r="K65">
        <v>1223</v>
      </c>
      <c r="L65">
        <v>163</v>
      </c>
      <c r="M65">
        <v>192</v>
      </c>
      <c r="N65">
        <v>5.85</v>
      </c>
    </row>
    <row r="66" spans="1:14" x14ac:dyDescent="0.25">
      <c r="A66" t="str">
        <f t="shared" si="0"/>
        <v>RHS150X150X8</v>
      </c>
      <c r="B66" t="str">
        <f t="shared" si="1"/>
        <v>150X150X8</v>
      </c>
      <c r="C66">
        <v>150</v>
      </c>
      <c r="D66">
        <v>150</v>
      </c>
      <c r="E66">
        <v>8</v>
      </c>
      <c r="F66">
        <v>12</v>
      </c>
      <c r="G66">
        <v>8</v>
      </c>
      <c r="H66">
        <v>44.8</v>
      </c>
      <c r="I66">
        <v>35.1</v>
      </c>
      <c r="J66">
        <v>0.57899999999999996</v>
      </c>
      <c r="K66">
        <v>1491</v>
      </c>
      <c r="L66">
        <v>199</v>
      </c>
      <c r="M66">
        <v>237</v>
      </c>
      <c r="N66">
        <v>5.77</v>
      </c>
    </row>
    <row r="67" spans="1:14" x14ac:dyDescent="0.25">
      <c r="A67" t="str">
        <f t="shared" si="0"/>
        <v>RHS150X150X10</v>
      </c>
      <c r="B67" t="str">
        <f t="shared" si="1"/>
        <v>150X150X10</v>
      </c>
      <c r="C67">
        <v>150</v>
      </c>
      <c r="D67">
        <v>150</v>
      </c>
      <c r="E67">
        <v>10</v>
      </c>
      <c r="F67">
        <v>15</v>
      </c>
      <c r="G67">
        <v>10</v>
      </c>
      <c r="H67">
        <v>54.9</v>
      </c>
      <c r="I67">
        <v>43.1</v>
      </c>
      <c r="J67">
        <v>0.57399999999999995</v>
      </c>
      <c r="K67">
        <v>1773</v>
      </c>
      <c r="L67">
        <v>236</v>
      </c>
      <c r="M67">
        <v>286</v>
      </c>
      <c r="N67">
        <v>5.68</v>
      </c>
    </row>
    <row r="68" spans="1:14" x14ac:dyDescent="0.25">
      <c r="A68" t="str">
        <f t="shared" si="0"/>
        <v>RHS150X150X12</v>
      </c>
      <c r="B68" t="str">
        <f t="shared" si="1"/>
        <v>150X150X12</v>
      </c>
      <c r="C68">
        <v>150</v>
      </c>
      <c r="D68">
        <v>150</v>
      </c>
      <c r="E68">
        <v>12</v>
      </c>
      <c r="F68">
        <v>18</v>
      </c>
      <c r="G68">
        <v>12</v>
      </c>
      <c r="H68">
        <v>64.7</v>
      </c>
      <c r="I68">
        <v>50.8</v>
      </c>
      <c r="J68">
        <v>0.56899999999999995</v>
      </c>
      <c r="K68">
        <v>2023</v>
      </c>
      <c r="L68">
        <v>270</v>
      </c>
      <c r="M68">
        <v>331</v>
      </c>
      <c r="N68">
        <v>5.59</v>
      </c>
    </row>
    <row r="69" spans="1:14" x14ac:dyDescent="0.25">
      <c r="A69" t="str">
        <f t="shared" si="0"/>
        <v>RHS150X150X12.5</v>
      </c>
      <c r="B69" t="str">
        <f t="shared" si="1"/>
        <v>150X150X12.5</v>
      </c>
      <c r="C69">
        <v>150</v>
      </c>
      <c r="D69">
        <v>150</v>
      </c>
      <c r="E69">
        <v>12.5</v>
      </c>
      <c r="F69">
        <v>18.8</v>
      </c>
      <c r="G69">
        <v>12.5</v>
      </c>
      <c r="H69">
        <v>67.099999999999994</v>
      </c>
      <c r="I69">
        <v>52.7</v>
      </c>
      <c r="J69">
        <v>0.56799999999999995</v>
      </c>
      <c r="K69">
        <v>2080</v>
      </c>
      <c r="L69">
        <v>277</v>
      </c>
      <c r="M69">
        <v>342</v>
      </c>
      <c r="N69">
        <v>5.57</v>
      </c>
    </row>
    <row r="70" spans="1:14" x14ac:dyDescent="0.25">
      <c r="A70" t="str">
        <f t="shared" si="0"/>
        <v>RHS150X150X16</v>
      </c>
      <c r="B70" t="str">
        <f t="shared" si="1"/>
        <v>150X150X16</v>
      </c>
      <c r="C70">
        <v>150</v>
      </c>
      <c r="D70">
        <v>150</v>
      </c>
      <c r="E70">
        <v>16</v>
      </c>
      <c r="F70">
        <v>24</v>
      </c>
      <c r="G70">
        <v>16</v>
      </c>
      <c r="H70">
        <v>83</v>
      </c>
      <c r="I70">
        <v>65.2</v>
      </c>
      <c r="J70">
        <v>0.55900000000000005</v>
      </c>
      <c r="K70">
        <v>2430</v>
      </c>
      <c r="L70">
        <v>324</v>
      </c>
      <c r="M70">
        <v>411</v>
      </c>
      <c r="N70">
        <v>5.41</v>
      </c>
    </row>
    <row r="71" spans="1:14" x14ac:dyDescent="0.25">
      <c r="A71" t="str">
        <f t="shared" si="0"/>
        <v>RHS160X160X5</v>
      </c>
      <c r="B71" t="str">
        <f t="shared" si="1"/>
        <v>160X160X5</v>
      </c>
      <c r="C71">
        <v>160</v>
      </c>
      <c r="D71">
        <v>160</v>
      </c>
      <c r="E71">
        <v>5</v>
      </c>
      <c r="F71">
        <v>7.5</v>
      </c>
      <c r="G71">
        <v>5</v>
      </c>
      <c r="H71">
        <v>30.7</v>
      </c>
      <c r="I71">
        <v>24.1</v>
      </c>
      <c r="J71">
        <v>0.627</v>
      </c>
      <c r="K71">
        <v>1225</v>
      </c>
      <c r="L71">
        <v>153</v>
      </c>
      <c r="M71">
        <v>178</v>
      </c>
      <c r="N71">
        <v>6.31</v>
      </c>
    </row>
    <row r="72" spans="1:14" x14ac:dyDescent="0.25">
      <c r="A72" t="str">
        <f t="shared" si="0"/>
        <v>RHS160X160X6</v>
      </c>
      <c r="B72" t="str">
        <f t="shared" si="1"/>
        <v>160X160X6</v>
      </c>
      <c r="C72">
        <v>160</v>
      </c>
      <c r="D72">
        <v>160</v>
      </c>
      <c r="E72">
        <v>6</v>
      </c>
      <c r="F72">
        <v>9</v>
      </c>
      <c r="G72">
        <v>6</v>
      </c>
      <c r="H72">
        <v>36.6</v>
      </c>
      <c r="I72">
        <v>28.7</v>
      </c>
      <c r="J72">
        <v>0.625</v>
      </c>
      <c r="K72">
        <v>1437</v>
      </c>
      <c r="L72">
        <v>180</v>
      </c>
      <c r="M72">
        <v>210</v>
      </c>
      <c r="N72">
        <v>6.27</v>
      </c>
    </row>
    <row r="73" spans="1:14" x14ac:dyDescent="0.25">
      <c r="A73" t="str">
        <f t="shared" si="0"/>
        <v>RHS160X160X6.3</v>
      </c>
      <c r="B73" t="str">
        <f t="shared" si="1"/>
        <v>160X160X6.3</v>
      </c>
      <c r="C73">
        <v>160</v>
      </c>
      <c r="D73">
        <v>160</v>
      </c>
      <c r="E73">
        <v>6.3</v>
      </c>
      <c r="F73">
        <v>9.5</v>
      </c>
      <c r="G73">
        <v>6.3</v>
      </c>
      <c r="H73">
        <v>38.299999999999997</v>
      </c>
      <c r="I73">
        <v>30.1</v>
      </c>
      <c r="J73">
        <v>0.624</v>
      </c>
      <c r="K73">
        <v>1499</v>
      </c>
      <c r="L73">
        <v>187</v>
      </c>
      <c r="M73">
        <v>220</v>
      </c>
      <c r="N73">
        <v>6.26</v>
      </c>
    </row>
    <row r="74" spans="1:14" x14ac:dyDescent="0.25">
      <c r="A74" t="str">
        <f t="shared" si="0"/>
        <v>RHS160X160X8</v>
      </c>
      <c r="B74" t="str">
        <f t="shared" si="1"/>
        <v>160X160X8</v>
      </c>
      <c r="C74">
        <v>160</v>
      </c>
      <c r="D74">
        <v>160</v>
      </c>
      <c r="E74">
        <v>8</v>
      </c>
      <c r="F74">
        <v>12</v>
      </c>
      <c r="G74">
        <v>8</v>
      </c>
      <c r="H74">
        <v>48</v>
      </c>
      <c r="I74">
        <v>37.6</v>
      </c>
      <c r="J74">
        <v>0.61899999999999999</v>
      </c>
      <c r="K74">
        <v>1831</v>
      </c>
      <c r="L74">
        <v>229</v>
      </c>
      <c r="M74">
        <v>272</v>
      </c>
      <c r="N74">
        <v>6.18</v>
      </c>
    </row>
    <row r="75" spans="1:14" x14ac:dyDescent="0.25">
      <c r="A75" t="str">
        <f t="shared" si="0"/>
        <v>RHS160X160X10</v>
      </c>
      <c r="B75" t="str">
        <f t="shared" si="1"/>
        <v>160X160X10</v>
      </c>
      <c r="C75">
        <v>160</v>
      </c>
      <c r="D75">
        <v>160</v>
      </c>
      <c r="E75">
        <v>10</v>
      </c>
      <c r="F75">
        <v>15</v>
      </c>
      <c r="G75">
        <v>10</v>
      </c>
      <c r="H75">
        <v>58.9</v>
      </c>
      <c r="I75">
        <v>46.3</v>
      </c>
      <c r="J75">
        <v>0.61399999999999999</v>
      </c>
      <c r="K75">
        <v>2186</v>
      </c>
      <c r="L75">
        <v>273</v>
      </c>
      <c r="M75">
        <v>329</v>
      </c>
      <c r="N75">
        <v>6.09</v>
      </c>
    </row>
    <row r="76" spans="1:14" x14ac:dyDescent="0.25">
      <c r="A76" t="str">
        <f t="shared" si="0"/>
        <v>RHS160X160X12</v>
      </c>
      <c r="B76" t="str">
        <f t="shared" si="1"/>
        <v>160X160X12</v>
      </c>
      <c r="C76">
        <v>160</v>
      </c>
      <c r="D76">
        <v>160</v>
      </c>
      <c r="E76">
        <v>12</v>
      </c>
      <c r="F76">
        <v>18</v>
      </c>
      <c r="G76">
        <v>12</v>
      </c>
      <c r="H76">
        <v>69.5</v>
      </c>
      <c r="I76">
        <v>54.6</v>
      </c>
      <c r="J76">
        <v>0.60899999999999999</v>
      </c>
      <c r="K76">
        <v>2502</v>
      </c>
      <c r="L76">
        <v>313</v>
      </c>
      <c r="M76">
        <v>382</v>
      </c>
      <c r="N76">
        <v>6</v>
      </c>
    </row>
    <row r="77" spans="1:14" x14ac:dyDescent="0.25">
      <c r="A77" t="str">
        <f t="shared" si="0"/>
        <v>RHS160X160X12.5</v>
      </c>
      <c r="B77" t="str">
        <f t="shared" si="1"/>
        <v>160X160X12.5</v>
      </c>
      <c r="C77">
        <v>160</v>
      </c>
      <c r="D77">
        <v>160</v>
      </c>
      <c r="E77">
        <v>12.5</v>
      </c>
      <c r="F77">
        <v>18.8</v>
      </c>
      <c r="G77">
        <v>12.5</v>
      </c>
      <c r="H77">
        <v>72.099999999999994</v>
      </c>
      <c r="I77">
        <v>56.6</v>
      </c>
      <c r="J77">
        <v>0.60799999999999998</v>
      </c>
      <c r="K77">
        <v>2576</v>
      </c>
      <c r="L77">
        <v>322</v>
      </c>
      <c r="M77">
        <v>395</v>
      </c>
      <c r="N77">
        <v>5.98</v>
      </c>
    </row>
    <row r="78" spans="1:14" x14ac:dyDescent="0.25">
      <c r="A78" t="str">
        <f t="shared" si="0"/>
        <v>RHS160X160X16</v>
      </c>
      <c r="B78" t="str">
        <f t="shared" si="1"/>
        <v>160X160X16</v>
      </c>
      <c r="C78">
        <v>160</v>
      </c>
      <c r="D78">
        <v>160</v>
      </c>
      <c r="E78">
        <v>16</v>
      </c>
      <c r="F78">
        <v>24</v>
      </c>
      <c r="G78">
        <v>16</v>
      </c>
      <c r="H78">
        <v>89.4</v>
      </c>
      <c r="I78">
        <v>70.2</v>
      </c>
      <c r="J78">
        <v>0.59899999999999998</v>
      </c>
      <c r="K78">
        <v>3028</v>
      </c>
      <c r="L78">
        <v>379</v>
      </c>
      <c r="M78">
        <v>476</v>
      </c>
      <c r="N78">
        <v>5.82</v>
      </c>
    </row>
    <row r="79" spans="1:14" x14ac:dyDescent="0.25">
      <c r="A79" t="str">
        <f t="shared" si="0"/>
        <v>RHS180X180X5</v>
      </c>
      <c r="B79" t="str">
        <f t="shared" si="1"/>
        <v>180X180X5</v>
      </c>
      <c r="C79">
        <v>180</v>
      </c>
      <c r="D79">
        <v>180</v>
      </c>
      <c r="E79">
        <v>5</v>
      </c>
      <c r="F79">
        <v>7.5</v>
      </c>
      <c r="G79">
        <v>5</v>
      </c>
      <c r="H79">
        <v>34.700000000000003</v>
      </c>
      <c r="I79">
        <v>27.3</v>
      </c>
      <c r="J79">
        <v>0.70699999999999996</v>
      </c>
      <c r="K79">
        <v>1765</v>
      </c>
      <c r="L79">
        <v>196</v>
      </c>
      <c r="M79">
        <v>227</v>
      </c>
      <c r="N79">
        <v>7.13</v>
      </c>
    </row>
    <row r="80" spans="1:14" x14ac:dyDescent="0.25">
      <c r="A80" t="str">
        <f t="shared" si="0"/>
        <v>RHS180X180X6</v>
      </c>
      <c r="B80" t="str">
        <f t="shared" si="1"/>
        <v>180X180X6</v>
      </c>
      <c r="C80">
        <v>180</v>
      </c>
      <c r="D80">
        <v>180</v>
      </c>
      <c r="E80">
        <v>6</v>
      </c>
      <c r="F80">
        <v>9</v>
      </c>
      <c r="G80">
        <v>6</v>
      </c>
      <c r="H80">
        <v>41.4</v>
      </c>
      <c r="I80">
        <v>32.5</v>
      </c>
      <c r="J80">
        <v>0.70499999999999996</v>
      </c>
      <c r="K80">
        <v>2077</v>
      </c>
      <c r="L80">
        <v>231</v>
      </c>
      <c r="M80">
        <v>269</v>
      </c>
      <c r="N80">
        <v>7.09</v>
      </c>
    </row>
    <row r="81" spans="1:14" x14ac:dyDescent="0.25">
      <c r="A81" t="str">
        <f t="shared" si="0"/>
        <v>RHS180X180X6.3</v>
      </c>
      <c r="B81" t="str">
        <f t="shared" si="1"/>
        <v>180X180X6.3</v>
      </c>
      <c r="C81">
        <v>180</v>
      </c>
      <c r="D81">
        <v>180</v>
      </c>
      <c r="E81">
        <v>6.3</v>
      </c>
      <c r="F81">
        <v>9.5</v>
      </c>
      <c r="G81">
        <v>6.3</v>
      </c>
      <c r="H81">
        <v>43.3</v>
      </c>
      <c r="I81">
        <v>34</v>
      </c>
      <c r="J81">
        <v>0.70399999999999996</v>
      </c>
      <c r="K81">
        <v>2168</v>
      </c>
      <c r="L81">
        <v>241</v>
      </c>
      <c r="M81">
        <v>281</v>
      </c>
      <c r="N81">
        <v>7.07</v>
      </c>
    </row>
    <row r="82" spans="1:14" x14ac:dyDescent="0.25">
      <c r="A82" t="str">
        <f t="shared" si="0"/>
        <v>RHS180X180X8</v>
      </c>
      <c r="B82" t="str">
        <f t="shared" si="1"/>
        <v>180X180X8</v>
      </c>
      <c r="C82">
        <v>180</v>
      </c>
      <c r="D82">
        <v>180</v>
      </c>
      <c r="E82">
        <v>8</v>
      </c>
      <c r="F82">
        <v>12</v>
      </c>
      <c r="G82">
        <v>8</v>
      </c>
      <c r="H82">
        <v>54.4</v>
      </c>
      <c r="I82">
        <v>42.7</v>
      </c>
      <c r="J82">
        <v>0.69899999999999995</v>
      </c>
      <c r="K82">
        <v>2661</v>
      </c>
      <c r="L82">
        <v>296</v>
      </c>
      <c r="M82">
        <v>349</v>
      </c>
      <c r="N82">
        <v>7</v>
      </c>
    </row>
    <row r="83" spans="1:14" x14ac:dyDescent="0.25">
      <c r="A83" t="str">
        <f t="shared" si="0"/>
        <v>RHS180X180X10</v>
      </c>
      <c r="B83" t="str">
        <f t="shared" si="1"/>
        <v>180X180X10</v>
      </c>
      <c r="C83">
        <v>180</v>
      </c>
      <c r="D83">
        <v>180</v>
      </c>
      <c r="E83">
        <v>10</v>
      </c>
      <c r="F83">
        <v>15</v>
      </c>
      <c r="G83">
        <v>10</v>
      </c>
      <c r="H83">
        <v>66.900000000000006</v>
      </c>
      <c r="I83">
        <v>52.5</v>
      </c>
      <c r="J83">
        <v>0.69399999999999995</v>
      </c>
      <c r="K83">
        <v>3193</v>
      </c>
      <c r="L83">
        <v>355</v>
      </c>
      <c r="M83">
        <v>424</v>
      </c>
      <c r="N83">
        <v>6.91</v>
      </c>
    </row>
    <row r="84" spans="1:14" x14ac:dyDescent="0.25">
      <c r="A84" t="str">
        <f t="shared" si="0"/>
        <v>RHS180X180X12</v>
      </c>
      <c r="B84" t="str">
        <f t="shared" si="1"/>
        <v>180X180X12</v>
      </c>
      <c r="C84">
        <v>180</v>
      </c>
      <c r="D84">
        <v>180</v>
      </c>
      <c r="E84">
        <v>12</v>
      </c>
      <c r="F84">
        <v>18</v>
      </c>
      <c r="G84">
        <v>12</v>
      </c>
      <c r="H84">
        <v>79.099999999999994</v>
      </c>
      <c r="I84">
        <v>62.1</v>
      </c>
      <c r="J84">
        <v>0.68899999999999995</v>
      </c>
      <c r="K84">
        <v>3677</v>
      </c>
      <c r="L84">
        <v>409</v>
      </c>
      <c r="M84">
        <v>494</v>
      </c>
      <c r="N84">
        <v>6.82</v>
      </c>
    </row>
    <row r="85" spans="1:14" x14ac:dyDescent="0.25">
      <c r="A85" t="str">
        <f t="shared" si="0"/>
        <v>RHS180X180X12.5</v>
      </c>
      <c r="B85" t="str">
        <f t="shared" si="1"/>
        <v>180X180X12.5</v>
      </c>
      <c r="C85">
        <v>180</v>
      </c>
      <c r="D85">
        <v>180</v>
      </c>
      <c r="E85">
        <v>12.5</v>
      </c>
      <c r="F85">
        <v>18.8</v>
      </c>
      <c r="G85">
        <v>12.5</v>
      </c>
      <c r="H85">
        <v>82.1</v>
      </c>
      <c r="I85">
        <v>64.400000000000006</v>
      </c>
      <c r="J85">
        <v>0.68799999999999994</v>
      </c>
      <c r="K85">
        <v>3790</v>
      </c>
      <c r="L85">
        <v>421</v>
      </c>
      <c r="M85">
        <v>511</v>
      </c>
      <c r="N85">
        <v>6.8</v>
      </c>
    </row>
    <row r="86" spans="1:14" x14ac:dyDescent="0.25">
      <c r="A86" t="str">
        <f t="shared" si="0"/>
        <v>RHS180X180X16</v>
      </c>
      <c r="B86" t="str">
        <f t="shared" si="1"/>
        <v>180X180X16</v>
      </c>
      <c r="C86">
        <v>180</v>
      </c>
      <c r="D86">
        <v>180</v>
      </c>
      <c r="E86">
        <v>16</v>
      </c>
      <c r="F86">
        <v>24</v>
      </c>
      <c r="G86">
        <v>16</v>
      </c>
      <c r="H86">
        <v>102.2</v>
      </c>
      <c r="I86">
        <v>80.2</v>
      </c>
      <c r="J86">
        <v>0.67900000000000005</v>
      </c>
      <c r="K86">
        <v>4504</v>
      </c>
      <c r="L86">
        <v>500</v>
      </c>
      <c r="M86">
        <v>621</v>
      </c>
      <c r="N86">
        <v>6.64</v>
      </c>
    </row>
    <row r="87" spans="1:14" x14ac:dyDescent="0.25">
      <c r="A87" t="str">
        <f t="shared" si="0"/>
        <v>RHS200X200X5</v>
      </c>
      <c r="B87" t="str">
        <f t="shared" si="1"/>
        <v>200X200X5</v>
      </c>
      <c r="C87">
        <v>200</v>
      </c>
      <c r="D87">
        <v>200</v>
      </c>
      <c r="E87">
        <v>5</v>
      </c>
      <c r="F87">
        <v>7.5</v>
      </c>
      <c r="G87">
        <v>5</v>
      </c>
      <c r="H87">
        <v>38.700000000000003</v>
      </c>
      <c r="I87">
        <v>30.4</v>
      </c>
      <c r="J87">
        <v>0.78700000000000003</v>
      </c>
      <c r="K87">
        <v>2445</v>
      </c>
      <c r="L87">
        <v>245</v>
      </c>
      <c r="M87">
        <v>283</v>
      </c>
      <c r="N87">
        <v>7.95</v>
      </c>
    </row>
    <row r="88" spans="1:14" x14ac:dyDescent="0.25">
      <c r="A88" t="str">
        <f t="shared" si="0"/>
        <v>RHS200X200X6</v>
      </c>
      <c r="B88" t="str">
        <f t="shared" si="1"/>
        <v>200X200X6</v>
      </c>
      <c r="C88">
        <v>200</v>
      </c>
      <c r="D88">
        <v>200</v>
      </c>
      <c r="E88">
        <v>6</v>
      </c>
      <c r="F88">
        <v>9</v>
      </c>
      <c r="G88">
        <v>6</v>
      </c>
      <c r="H88">
        <v>46.2</v>
      </c>
      <c r="I88">
        <v>36.200000000000003</v>
      </c>
      <c r="J88">
        <v>0.78500000000000003</v>
      </c>
      <c r="K88">
        <v>2883</v>
      </c>
      <c r="L88">
        <v>288</v>
      </c>
      <c r="M88">
        <v>335</v>
      </c>
      <c r="N88">
        <v>7.9</v>
      </c>
    </row>
    <row r="89" spans="1:14" x14ac:dyDescent="0.25">
      <c r="A89" t="str">
        <f t="shared" si="0"/>
        <v>RHS200X200X6.3</v>
      </c>
      <c r="B89" t="str">
        <f t="shared" si="1"/>
        <v>200X200X6.3</v>
      </c>
      <c r="C89">
        <v>200</v>
      </c>
      <c r="D89">
        <v>200</v>
      </c>
      <c r="E89">
        <v>6.3</v>
      </c>
      <c r="F89">
        <v>9.5</v>
      </c>
      <c r="G89">
        <v>6.3</v>
      </c>
      <c r="H89">
        <v>48.4</v>
      </c>
      <c r="I89">
        <v>38</v>
      </c>
      <c r="J89">
        <v>0.78400000000000003</v>
      </c>
      <c r="K89">
        <v>3011</v>
      </c>
      <c r="L89">
        <v>301</v>
      </c>
      <c r="M89">
        <v>350</v>
      </c>
      <c r="N89">
        <v>7.89</v>
      </c>
    </row>
    <row r="90" spans="1:14" x14ac:dyDescent="0.25">
      <c r="A90" t="str">
        <f t="shared" si="0"/>
        <v>RHS200X200X8</v>
      </c>
      <c r="B90" t="str">
        <f t="shared" si="1"/>
        <v>200X200X8</v>
      </c>
      <c r="C90">
        <v>200</v>
      </c>
      <c r="D90">
        <v>200</v>
      </c>
      <c r="E90">
        <v>8</v>
      </c>
      <c r="F90">
        <v>12</v>
      </c>
      <c r="G90">
        <v>8</v>
      </c>
      <c r="H90">
        <v>60.8</v>
      </c>
      <c r="I90">
        <v>47.7</v>
      </c>
      <c r="J90">
        <v>0.77900000000000003</v>
      </c>
      <c r="K90">
        <v>3709</v>
      </c>
      <c r="L90">
        <v>371</v>
      </c>
      <c r="M90">
        <v>436</v>
      </c>
      <c r="N90">
        <v>7.81</v>
      </c>
    </row>
    <row r="91" spans="1:14" x14ac:dyDescent="0.25">
      <c r="A91" t="str">
        <f t="shared" si="0"/>
        <v>RHS200X200X10</v>
      </c>
      <c r="B91" t="str">
        <f t="shared" si="1"/>
        <v>200X200X10</v>
      </c>
      <c r="C91">
        <v>200</v>
      </c>
      <c r="D91">
        <v>200</v>
      </c>
      <c r="E91">
        <v>10</v>
      </c>
      <c r="F91">
        <v>15</v>
      </c>
      <c r="G91">
        <v>10</v>
      </c>
      <c r="H91">
        <v>74.900000000000006</v>
      </c>
      <c r="I91">
        <v>58.8</v>
      </c>
      <c r="J91">
        <v>0.77400000000000002</v>
      </c>
      <c r="K91">
        <v>4471</v>
      </c>
      <c r="L91">
        <v>447</v>
      </c>
      <c r="M91">
        <v>531</v>
      </c>
      <c r="N91">
        <v>7.72</v>
      </c>
    </row>
    <row r="92" spans="1:14" x14ac:dyDescent="0.25">
      <c r="A92" t="str">
        <f t="shared" si="0"/>
        <v>RHS200X200X12</v>
      </c>
      <c r="B92" t="str">
        <f t="shared" si="1"/>
        <v>200X200X12</v>
      </c>
      <c r="C92">
        <v>200</v>
      </c>
      <c r="D92">
        <v>200</v>
      </c>
      <c r="E92">
        <v>12</v>
      </c>
      <c r="F92">
        <v>18</v>
      </c>
      <c r="G92">
        <v>12</v>
      </c>
      <c r="H92">
        <v>88.7</v>
      </c>
      <c r="I92">
        <v>69.599999999999994</v>
      </c>
      <c r="J92">
        <v>0.76900000000000002</v>
      </c>
      <c r="K92">
        <v>5171</v>
      </c>
      <c r="L92">
        <v>517</v>
      </c>
      <c r="M92">
        <v>621</v>
      </c>
      <c r="N92">
        <v>7.64</v>
      </c>
    </row>
    <row r="93" spans="1:14" x14ac:dyDescent="0.25">
      <c r="A93" t="str">
        <f t="shared" si="0"/>
        <v>RHS200X200X12.5</v>
      </c>
      <c r="B93" t="str">
        <f t="shared" si="1"/>
        <v>200X200X12.5</v>
      </c>
      <c r="C93">
        <v>200</v>
      </c>
      <c r="D93">
        <v>200</v>
      </c>
      <c r="E93">
        <v>12.5</v>
      </c>
      <c r="F93">
        <v>18.8</v>
      </c>
      <c r="G93">
        <v>12.5</v>
      </c>
      <c r="H93">
        <v>92.1</v>
      </c>
      <c r="I93">
        <v>72.3</v>
      </c>
      <c r="J93">
        <v>0.76800000000000002</v>
      </c>
      <c r="K93">
        <v>5336</v>
      </c>
      <c r="L93">
        <v>534</v>
      </c>
      <c r="M93">
        <v>643</v>
      </c>
      <c r="N93">
        <v>7.61</v>
      </c>
    </row>
    <row r="94" spans="1:14" x14ac:dyDescent="0.25">
      <c r="A94" t="str">
        <f t="shared" si="0"/>
        <v>RHS200X200X16</v>
      </c>
      <c r="B94" t="str">
        <f t="shared" si="1"/>
        <v>200X200X16</v>
      </c>
      <c r="C94">
        <v>200</v>
      </c>
      <c r="D94">
        <v>200</v>
      </c>
      <c r="E94">
        <v>16</v>
      </c>
      <c r="F94">
        <v>24</v>
      </c>
      <c r="G94">
        <v>16</v>
      </c>
      <c r="H94">
        <v>115</v>
      </c>
      <c r="I94">
        <v>90.3</v>
      </c>
      <c r="J94">
        <v>0.75900000000000001</v>
      </c>
      <c r="K94">
        <v>6394</v>
      </c>
      <c r="L94">
        <v>639</v>
      </c>
      <c r="M94">
        <v>785</v>
      </c>
      <c r="N94">
        <v>7.46</v>
      </c>
    </row>
    <row r="95" spans="1:14" x14ac:dyDescent="0.25">
      <c r="A95" t="str">
        <f t="shared" si="0"/>
        <v>RHS220X220X6</v>
      </c>
      <c r="B95" t="str">
        <f t="shared" si="1"/>
        <v>220X220X6</v>
      </c>
      <c r="C95">
        <v>220</v>
      </c>
      <c r="D95">
        <v>220</v>
      </c>
      <c r="E95">
        <v>6</v>
      </c>
      <c r="F95">
        <v>9</v>
      </c>
      <c r="G95">
        <v>6</v>
      </c>
      <c r="H95">
        <v>51</v>
      </c>
      <c r="I95">
        <v>40</v>
      </c>
      <c r="J95">
        <v>0.86499999999999999</v>
      </c>
      <c r="K95">
        <v>3875</v>
      </c>
      <c r="L95">
        <v>352</v>
      </c>
      <c r="M95">
        <v>408</v>
      </c>
      <c r="N95">
        <v>8.7200000000000006</v>
      </c>
    </row>
    <row r="96" spans="1:14" x14ac:dyDescent="0.25">
      <c r="A96" t="str">
        <f t="shared" si="0"/>
        <v>RHS220X220X6.3</v>
      </c>
      <c r="B96" t="str">
        <f t="shared" si="1"/>
        <v>220X220X6.3</v>
      </c>
      <c r="C96">
        <v>220</v>
      </c>
      <c r="D96">
        <v>220</v>
      </c>
      <c r="E96">
        <v>6.3</v>
      </c>
      <c r="F96">
        <v>9.5</v>
      </c>
      <c r="G96">
        <v>6.3</v>
      </c>
      <c r="H96">
        <v>53.4</v>
      </c>
      <c r="I96">
        <v>41.9</v>
      </c>
      <c r="J96">
        <v>0.86399999999999999</v>
      </c>
      <c r="K96">
        <v>4049</v>
      </c>
      <c r="L96">
        <v>368</v>
      </c>
      <c r="M96">
        <v>427</v>
      </c>
      <c r="N96">
        <v>8.7100000000000009</v>
      </c>
    </row>
    <row r="97" spans="1:14" x14ac:dyDescent="0.25">
      <c r="A97" t="str">
        <f t="shared" si="0"/>
        <v>RHS220X220X8</v>
      </c>
      <c r="B97" t="str">
        <f t="shared" si="1"/>
        <v>220X220X8</v>
      </c>
      <c r="C97">
        <v>220</v>
      </c>
      <c r="D97">
        <v>220</v>
      </c>
      <c r="E97">
        <v>8</v>
      </c>
      <c r="F97">
        <v>12</v>
      </c>
      <c r="G97">
        <v>8</v>
      </c>
      <c r="H97">
        <v>67.2</v>
      </c>
      <c r="I97">
        <v>52.7</v>
      </c>
      <c r="J97">
        <v>0.85899999999999999</v>
      </c>
      <c r="K97">
        <v>5002</v>
      </c>
      <c r="L97">
        <v>455</v>
      </c>
      <c r="M97">
        <v>532</v>
      </c>
      <c r="N97">
        <v>8.6300000000000008</v>
      </c>
    </row>
    <row r="98" spans="1:14" x14ac:dyDescent="0.25">
      <c r="A98" t="str">
        <f t="shared" si="0"/>
        <v>RHS220X220X10</v>
      </c>
      <c r="B98" t="str">
        <f t="shared" si="1"/>
        <v>220X220X10</v>
      </c>
      <c r="C98">
        <v>220</v>
      </c>
      <c r="D98">
        <v>220</v>
      </c>
      <c r="E98">
        <v>10</v>
      </c>
      <c r="F98">
        <v>15</v>
      </c>
      <c r="G98">
        <v>10</v>
      </c>
      <c r="H98">
        <v>82.9</v>
      </c>
      <c r="I98">
        <v>65.099999999999994</v>
      </c>
      <c r="J98">
        <v>0.85399999999999998</v>
      </c>
      <c r="K98">
        <v>6050</v>
      </c>
      <c r="L98">
        <v>550</v>
      </c>
      <c r="M98">
        <v>650</v>
      </c>
      <c r="N98">
        <v>8.5399999999999991</v>
      </c>
    </row>
    <row r="99" spans="1:14" x14ac:dyDescent="0.25">
      <c r="A99" t="str">
        <f t="shared" si="0"/>
        <v>RHS220X220X12</v>
      </c>
      <c r="B99" t="str">
        <f t="shared" si="1"/>
        <v>220X220X12</v>
      </c>
      <c r="C99">
        <v>220</v>
      </c>
      <c r="D99">
        <v>220</v>
      </c>
      <c r="E99">
        <v>12</v>
      </c>
      <c r="F99">
        <v>18</v>
      </c>
      <c r="G99">
        <v>12</v>
      </c>
      <c r="H99">
        <v>98.3</v>
      </c>
      <c r="I99">
        <v>77.2</v>
      </c>
      <c r="J99">
        <v>0.84899999999999998</v>
      </c>
      <c r="K99">
        <v>7023</v>
      </c>
      <c r="L99">
        <v>638</v>
      </c>
      <c r="M99">
        <v>762</v>
      </c>
      <c r="N99">
        <v>8.4499999999999993</v>
      </c>
    </row>
    <row r="100" spans="1:14" x14ac:dyDescent="0.25">
      <c r="A100" t="str">
        <f t="shared" si="0"/>
        <v>RHS220X220X12.5</v>
      </c>
      <c r="B100" t="str">
        <f t="shared" si="1"/>
        <v>220X220X12.5</v>
      </c>
      <c r="C100">
        <v>220</v>
      </c>
      <c r="D100">
        <v>220</v>
      </c>
      <c r="E100">
        <v>12.5</v>
      </c>
      <c r="F100">
        <v>18.8</v>
      </c>
      <c r="G100">
        <v>12.5</v>
      </c>
      <c r="H100">
        <v>102</v>
      </c>
      <c r="I100">
        <v>80.099999999999994</v>
      </c>
      <c r="J100">
        <v>0.84799999999999998</v>
      </c>
      <c r="K100">
        <v>7254</v>
      </c>
      <c r="L100">
        <v>659</v>
      </c>
      <c r="M100">
        <v>789</v>
      </c>
      <c r="N100">
        <v>8.43</v>
      </c>
    </row>
    <row r="101" spans="1:14" x14ac:dyDescent="0.25">
      <c r="A101" t="str">
        <f t="shared" si="0"/>
        <v>RHS220X220X16</v>
      </c>
      <c r="B101" t="str">
        <f t="shared" si="1"/>
        <v>220X220X16</v>
      </c>
      <c r="C101">
        <v>220</v>
      </c>
      <c r="D101">
        <v>220</v>
      </c>
      <c r="E101">
        <v>16</v>
      </c>
      <c r="F101">
        <v>24</v>
      </c>
      <c r="G101">
        <v>16</v>
      </c>
      <c r="H101">
        <v>128</v>
      </c>
      <c r="I101">
        <v>100</v>
      </c>
      <c r="J101">
        <v>0.83899999999999997</v>
      </c>
      <c r="K101">
        <v>8749</v>
      </c>
      <c r="L101">
        <v>795</v>
      </c>
      <c r="M101">
        <v>969</v>
      </c>
      <c r="N101">
        <v>8.27</v>
      </c>
    </row>
    <row r="102" spans="1:14" x14ac:dyDescent="0.25">
      <c r="A102" t="str">
        <f t="shared" si="0"/>
        <v>RHS250X250X6</v>
      </c>
      <c r="B102" t="str">
        <f t="shared" si="1"/>
        <v>250X250X6</v>
      </c>
      <c r="C102">
        <v>250</v>
      </c>
      <c r="D102">
        <v>250</v>
      </c>
      <c r="E102">
        <v>6</v>
      </c>
      <c r="F102">
        <v>9</v>
      </c>
      <c r="G102">
        <v>6</v>
      </c>
      <c r="H102">
        <v>58.2</v>
      </c>
      <c r="I102">
        <v>45.7</v>
      </c>
      <c r="J102">
        <v>0.98499999999999999</v>
      </c>
      <c r="K102">
        <v>5752</v>
      </c>
      <c r="L102">
        <v>460</v>
      </c>
      <c r="M102">
        <v>531</v>
      </c>
      <c r="N102">
        <v>9.94</v>
      </c>
    </row>
    <row r="103" spans="1:14" x14ac:dyDescent="0.25">
      <c r="A103" t="str">
        <f t="shared" si="0"/>
        <v>RHS250X250X6.3</v>
      </c>
      <c r="B103" t="str">
        <f t="shared" si="1"/>
        <v>250X250X6.3</v>
      </c>
      <c r="C103">
        <v>250</v>
      </c>
      <c r="D103">
        <v>250</v>
      </c>
      <c r="E103">
        <v>6.3</v>
      </c>
      <c r="F103">
        <v>9.5</v>
      </c>
      <c r="G103">
        <v>6.3</v>
      </c>
      <c r="H103">
        <v>61</v>
      </c>
      <c r="I103">
        <v>47.9</v>
      </c>
      <c r="J103">
        <v>0.98399999999999999</v>
      </c>
      <c r="K103">
        <v>6014</v>
      </c>
      <c r="L103">
        <v>481</v>
      </c>
      <c r="M103">
        <v>556</v>
      </c>
      <c r="N103">
        <v>9.93</v>
      </c>
    </row>
    <row r="104" spans="1:14" x14ac:dyDescent="0.25">
      <c r="A104" t="str">
        <f t="shared" si="0"/>
        <v>RHS250X250X8</v>
      </c>
      <c r="B104" t="str">
        <f t="shared" si="1"/>
        <v>250X250X8</v>
      </c>
      <c r="C104">
        <v>250</v>
      </c>
      <c r="D104">
        <v>250</v>
      </c>
      <c r="E104">
        <v>8</v>
      </c>
      <c r="F104">
        <v>12</v>
      </c>
      <c r="G104">
        <v>8</v>
      </c>
      <c r="H104">
        <v>76.8</v>
      </c>
      <c r="I104">
        <v>60.3</v>
      </c>
      <c r="J104">
        <v>0.97899999999999998</v>
      </c>
      <c r="K104">
        <v>7455</v>
      </c>
      <c r="L104">
        <v>596</v>
      </c>
      <c r="M104">
        <v>694</v>
      </c>
      <c r="N104">
        <v>9.86</v>
      </c>
    </row>
    <row r="105" spans="1:14" x14ac:dyDescent="0.25">
      <c r="A105" t="str">
        <f t="shared" si="0"/>
        <v>RHS250X250X10</v>
      </c>
      <c r="B105" t="str">
        <f t="shared" si="1"/>
        <v>250X250X10</v>
      </c>
      <c r="C105">
        <v>250</v>
      </c>
      <c r="D105">
        <v>250</v>
      </c>
      <c r="E105">
        <v>10</v>
      </c>
      <c r="F105">
        <v>15</v>
      </c>
      <c r="G105">
        <v>10</v>
      </c>
      <c r="H105">
        <v>94.9</v>
      </c>
      <c r="I105">
        <v>74.5</v>
      </c>
      <c r="J105">
        <v>0.97399999999999998</v>
      </c>
      <c r="K105">
        <v>9055</v>
      </c>
      <c r="L105">
        <v>724</v>
      </c>
      <c r="M105">
        <v>851</v>
      </c>
      <c r="N105">
        <v>9.77</v>
      </c>
    </row>
    <row r="106" spans="1:14" x14ac:dyDescent="0.25">
      <c r="A106" t="str">
        <f t="shared" si="0"/>
        <v>RHS250X250X12</v>
      </c>
      <c r="B106" t="str">
        <f t="shared" si="1"/>
        <v>250X250X12</v>
      </c>
      <c r="C106">
        <v>250</v>
      </c>
      <c r="D106">
        <v>250</v>
      </c>
      <c r="E106">
        <v>12</v>
      </c>
      <c r="F106">
        <v>18</v>
      </c>
      <c r="G106">
        <v>12</v>
      </c>
      <c r="H106">
        <v>113</v>
      </c>
      <c r="I106">
        <v>88.5</v>
      </c>
      <c r="J106">
        <v>0.96899999999999997</v>
      </c>
      <c r="K106">
        <v>10556</v>
      </c>
      <c r="L106">
        <v>844</v>
      </c>
      <c r="M106">
        <v>1000</v>
      </c>
      <c r="N106">
        <v>9.68</v>
      </c>
    </row>
    <row r="107" spans="1:14" x14ac:dyDescent="0.25">
      <c r="A107" t="str">
        <f t="shared" si="0"/>
        <v>RHS250X250X12.5</v>
      </c>
      <c r="B107" t="str">
        <f t="shared" si="1"/>
        <v>250X250X12.5</v>
      </c>
      <c r="C107">
        <v>250</v>
      </c>
      <c r="D107">
        <v>250</v>
      </c>
      <c r="E107">
        <v>12.5</v>
      </c>
      <c r="F107">
        <v>18.8</v>
      </c>
      <c r="G107">
        <v>12.5</v>
      </c>
      <c r="H107">
        <v>117</v>
      </c>
      <c r="I107">
        <v>91.9</v>
      </c>
      <c r="J107">
        <v>0.96799999999999997</v>
      </c>
      <c r="K107">
        <v>10915</v>
      </c>
      <c r="L107">
        <v>873</v>
      </c>
      <c r="M107">
        <v>1037</v>
      </c>
      <c r="N107">
        <v>9.66</v>
      </c>
    </row>
    <row r="108" spans="1:14" x14ac:dyDescent="0.25">
      <c r="A108" t="str">
        <f t="shared" si="0"/>
        <v>RHS250X250X16</v>
      </c>
      <c r="B108" t="str">
        <f t="shared" si="1"/>
        <v>250X250X16</v>
      </c>
      <c r="C108">
        <v>250</v>
      </c>
      <c r="D108">
        <v>250</v>
      </c>
      <c r="E108">
        <v>16</v>
      </c>
      <c r="F108">
        <v>24</v>
      </c>
      <c r="G108">
        <v>16</v>
      </c>
      <c r="H108">
        <v>147</v>
      </c>
      <c r="I108">
        <v>115</v>
      </c>
      <c r="J108">
        <v>0.95899999999999996</v>
      </c>
      <c r="K108">
        <v>13267</v>
      </c>
      <c r="L108">
        <v>1061</v>
      </c>
      <c r="M108">
        <v>1280</v>
      </c>
      <c r="N108">
        <v>9.5</v>
      </c>
    </row>
    <row r="109" spans="1:14" x14ac:dyDescent="0.25">
      <c r="A109" t="str">
        <f t="shared" si="0"/>
        <v>RHS260X260X6</v>
      </c>
      <c r="B109" t="str">
        <f t="shared" si="1"/>
        <v>260X260X6</v>
      </c>
      <c r="C109">
        <v>260</v>
      </c>
      <c r="D109">
        <v>260</v>
      </c>
      <c r="E109">
        <v>6</v>
      </c>
      <c r="F109">
        <v>9</v>
      </c>
      <c r="G109">
        <v>6</v>
      </c>
      <c r="H109">
        <v>60.6</v>
      </c>
      <c r="I109">
        <v>47.6</v>
      </c>
      <c r="J109">
        <v>1.02</v>
      </c>
      <c r="K109">
        <v>6491</v>
      </c>
      <c r="L109">
        <v>499</v>
      </c>
      <c r="M109">
        <v>576</v>
      </c>
      <c r="N109">
        <v>10.4</v>
      </c>
    </row>
    <row r="110" spans="1:14" x14ac:dyDescent="0.25">
      <c r="A110" t="str">
        <f t="shared" si="0"/>
        <v>RHS260X260X6.3</v>
      </c>
      <c r="B110" t="str">
        <f t="shared" si="1"/>
        <v>260X260X6.3</v>
      </c>
      <c r="C110">
        <v>260</v>
      </c>
      <c r="D110">
        <v>260</v>
      </c>
      <c r="E110">
        <v>6.3</v>
      </c>
      <c r="F110">
        <v>9.5</v>
      </c>
      <c r="G110">
        <v>6.3</v>
      </c>
      <c r="H110">
        <v>63.5</v>
      </c>
      <c r="I110">
        <v>49.9</v>
      </c>
      <c r="J110">
        <v>1.02</v>
      </c>
      <c r="K110">
        <v>6788</v>
      </c>
      <c r="L110">
        <v>522</v>
      </c>
      <c r="M110">
        <v>603</v>
      </c>
      <c r="N110">
        <v>10.3</v>
      </c>
    </row>
    <row r="111" spans="1:14" x14ac:dyDescent="0.25">
      <c r="A111" t="str">
        <f t="shared" si="0"/>
        <v>RHS260X260X8</v>
      </c>
      <c r="B111" t="str">
        <f t="shared" si="1"/>
        <v>260X260X8</v>
      </c>
      <c r="C111">
        <v>260</v>
      </c>
      <c r="D111">
        <v>260</v>
      </c>
      <c r="E111">
        <v>8</v>
      </c>
      <c r="F111">
        <v>12</v>
      </c>
      <c r="G111">
        <v>8</v>
      </c>
      <c r="H111">
        <v>80</v>
      </c>
      <c r="I111">
        <v>62.8</v>
      </c>
      <c r="J111">
        <v>1.02</v>
      </c>
      <c r="K111">
        <v>8423</v>
      </c>
      <c r="L111">
        <v>648</v>
      </c>
      <c r="M111">
        <v>753</v>
      </c>
      <c r="N111">
        <v>10.3</v>
      </c>
    </row>
    <row r="112" spans="1:14" x14ac:dyDescent="0.25">
      <c r="A112" t="str">
        <f t="shared" si="0"/>
        <v>RHS260X260X10</v>
      </c>
      <c r="B112" t="str">
        <f t="shared" si="1"/>
        <v>260X260X10</v>
      </c>
      <c r="C112">
        <v>260</v>
      </c>
      <c r="D112">
        <v>260</v>
      </c>
      <c r="E112">
        <v>10</v>
      </c>
      <c r="F112">
        <v>15</v>
      </c>
      <c r="G112">
        <v>10</v>
      </c>
      <c r="H112">
        <v>98.9</v>
      </c>
      <c r="I112">
        <v>77.7</v>
      </c>
      <c r="J112">
        <v>1.01</v>
      </c>
      <c r="K112">
        <v>10242</v>
      </c>
      <c r="L112">
        <v>788</v>
      </c>
      <c r="M112">
        <v>924</v>
      </c>
      <c r="N112">
        <v>10.199999999999999</v>
      </c>
    </row>
    <row r="113" spans="1:14" x14ac:dyDescent="0.25">
      <c r="A113" t="str">
        <f t="shared" si="0"/>
        <v>RHS260X260X12</v>
      </c>
      <c r="B113" t="str">
        <f t="shared" si="1"/>
        <v>260X260X12</v>
      </c>
      <c r="C113">
        <v>260</v>
      </c>
      <c r="D113">
        <v>260</v>
      </c>
      <c r="E113">
        <v>12</v>
      </c>
      <c r="F113">
        <v>18</v>
      </c>
      <c r="G113">
        <v>12</v>
      </c>
      <c r="H113">
        <v>117</v>
      </c>
      <c r="I113">
        <v>92.2</v>
      </c>
      <c r="J113">
        <v>1.01</v>
      </c>
      <c r="K113">
        <v>11954</v>
      </c>
      <c r="L113">
        <v>920</v>
      </c>
      <c r="M113">
        <v>1087</v>
      </c>
      <c r="N113">
        <v>10.1</v>
      </c>
    </row>
    <row r="114" spans="1:14" x14ac:dyDescent="0.25">
      <c r="A114" t="str">
        <f t="shared" si="0"/>
        <v>RHS260X260X12.5</v>
      </c>
      <c r="B114" t="str">
        <f t="shared" si="1"/>
        <v>260X260X12.5</v>
      </c>
      <c r="C114">
        <v>260</v>
      </c>
      <c r="D114">
        <v>260</v>
      </c>
      <c r="E114">
        <v>12.5</v>
      </c>
      <c r="F114">
        <v>18.8</v>
      </c>
      <c r="G114">
        <v>12.5</v>
      </c>
      <c r="H114">
        <v>122</v>
      </c>
      <c r="I114">
        <v>95.8</v>
      </c>
      <c r="J114">
        <v>1.01</v>
      </c>
      <c r="K114">
        <v>12365</v>
      </c>
      <c r="L114">
        <v>951</v>
      </c>
      <c r="M114">
        <v>1127</v>
      </c>
      <c r="N114">
        <v>10.1</v>
      </c>
    </row>
    <row r="115" spans="1:14" x14ac:dyDescent="0.25">
      <c r="A115" t="str">
        <f t="shared" si="0"/>
        <v>RHS260X260X16</v>
      </c>
      <c r="B115" t="str">
        <f t="shared" si="1"/>
        <v>260X260X16</v>
      </c>
      <c r="C115">
        <v>260</v>
      </c>
      <c r="D115">
        <v>260</v>
      </c>
      <c r="E115">
        <v>16</v>
      </c>
      <c r="F115">
        <v>24</v>
      </c>
      <c r="G115">
        <v>16</v>
      </c>
      <c r="H115">
        <v>153</v>
      </c>
      <c r="I115">
        <v>120</v>
      </c>
      <c r="J115">
        <v>0.999</v>
      </c>
      <c r="K115">
        <v>15061</v>
      </c>
      <c r="L115">
        <v>1159</v>
      </c>
      <c r="M115">
        <v>1394</v>
      </c>
      <c r="N115">
        <v>9.91</v>
      </c>
    </row>
    <row r="116" spans="1:14" x14ac:dyDescent="0.25">
      <c r="A116" t="str">
        <f t="shared" si="0"/>
        <v>RHS300X300X6</v>
      </c>
      <c r="B116" t="str">
        <f t="shared" si="1"/>
        <v>300X300X6</v>
      </c>
      <c r="C116">
        <v>300</v>
      </c>
      <c r="D116">
        <v>300</v>
      </c>
      <c r="E116">
        <v>6</v>
      </c>
      <c r="F116">
        <v>9</v>
      </c>
      <c r="G116">
        <v>6</v>
      </c>
      <c r="H116">
        <v>70.2</v>
      </c>
      <c r="I116">
        <v>55.1</v>
      </c>
      <c r="J116">
        <v>1.18</v>
      </c>
      <c r="K116">
        <v>10080</v>
      </c>
      <c r="L116">
        <v>672</v>
      </c>
      <c r="M116">
        <v>772</v>
      </c>
      <c r="N116">
        <v>12</v>
      </c>
    </row>
    <row r="117" spans="1:14" x14ac:dyDescent="0.25">
      <c r="A117" t="str">
        <f t="shared" si="0"/>
        <v>RHS300X300X6.3</v>
      </c>
      <c r="B117" t="str">
        <f t="shared" si="1"/>
        <v>300X300X6.3</v>
      </c>
      <c r="C117">
        <v>300</v>
      </c>
      <c r="D117">
        <v>300</v>
      </c>
      <c r="E117">
        <v>6.3</v>
      </c>
      <c r="F117">
        <v>9.5</v>
      </c>
      <c r="G117">
        <v>6.3</v>
      </c>
      <c r="H117">
        <v>73.599999999999994</v>
      </c>
      <c r="I117">
        <v>57.8</v>
      </c>
      <c r="J117">
        <v>1.18</v>
      </c>
      <c r="K117">
        <v>10547</v>
      </c>
      <c r="L117">
        <v>703</v>
      </c>
      <c r="M117">
        <v>809</v>
      </c>
      <c r="N117">
        <v>12</v>
      </c>
    </row>
    <row r="118" spans="1:14" x14ac:dyDescent="0.25">
      <c r="A118" t="str">
        <f t="shared" si="0"/>
        <v>RHS300X300X8</v>
      </c>
      <c r="B118" t="str">
        <f t="shared" si="1"/>
        <v>300X300X8</v>
      </c>
      <c r="C118">
        <v>300</v>
      </c>
      <c r="D118">
        <v>300</v>
      </c>
      <c r="E118">
        <v>8</v>
      </c>
      <c r="F118">
        <v>12</v>
      </c>
      <c r="G118">
        <v>8</v>
      </c>
      <c r="H118">
        <v>92.8</v>
      </c>
      <c r="I118">
        <v>72.8</v>
      </c>
      <c r="J118">
        <v>1.18</v>
      </c>
      <c r="K118">
        <v>13128</v>
      </c>
      <c r="L118">
        <v>875</v>
      </c>
      <c r="M118">
        <v>1013</v>
      </c>
      <c r="N118">
        <v>11.9</v>
      </c>
    </row>
    <row r="119" spans="1:14" x14ac:dyDescent="0.25">
      <c r="A119" t="str">
        <f t="shared" si="0"/>
        <v>RHS300X300X10</v>
      </c>
      <c r="B119" t="str">
        <f t="shared" si="1"/>
        <v>300X300X10</v>
      </c>
      <c r="C119">
        <v>300</v>
      </c>
      <c r="D119">
        <v>300</v>
      </c>
      <c r="E119">
        <v>10</v>
      </c>
      <c r="F119">
        <v>15</v>
      </c>
      <c r="G119">
        <v>10</v>
      </c>
      <c r="H119">
        <v>115</v>
      </c>
      <c r="I119">
        <v>90.2</v>
      </c>
      <c r="J119">
        <v>1.17</v>
      </c>
      <c r="K119">
        <v>16026</v>
      </c>
      <c r="L119">
        <v>1068</v>
      </c>
      <c r="M119">
        <v>1246</v>
      </c>
      <c r="N119">
        <v>11.8</v>
      </c>
    </row>
    <row r="120" spans="1:14" x14ac:dyDescent="0.25">
      <c r="A120" t="str">
        <f t="shared" si="0"/>
        <v>RHS300X300X12</v>
      </c>
      <c r="B120" t="str">
        <f t="shared" si="1"/>
        <v>300X300X12</v>
      </c>
      <c r="C120">
        <v>300</v>
      </c>
      <c r="D120">
        <v>300</v>
      </c>
      <c r="E120">
        <v>12</v>
      </c>
      <c r="F120">
        <v>18</v>
      </c>
      <c r="G120">
        <v>12</v>
      </c>
      <c r="H120">
        <v>137</v>
      </c>
      <c r="I120">
        <v>107</v>
      </c>
      <c r="J120">
        <v>1.17</v>
      </c>
      <c r="K120">
        <v>18777</v>
      </c>
      <c r="L120">
        <v>1252</v>
      </c>
      <c r="M120">
        <v>1470</v>
      </c>
      <c r="N120">
        <v>11.7</v>
      </c>
    </row>
    <row r="121" spans="1:14" x14ac:dyDescent="0.25">
      <c r="A121" t="str">
        <f t="shared" si="0"/>
        <v>RHS300X300X12.5</v>
      </c>
      <c r="B121" t="str">
        <f t="shared" si="1"/>
        <v>300X300X12.5</v>
      </c>
      <c r="C121">
        <v>300</v>
      </c>
      <c r="D121">
        <v>300</v>
      </c>
      <c r="E121">
        <v>12.5</v>
      </c>
      <c r="F121">
        <v>18.8</v>
      </c>
      <c r="G121">
        <v>12.5</v>
      </c>
      <c r="H121">
        <v>142</v>
      </c>
      <c r="I121">
        <v>112</v>
      </c>
      <c r="J121">
        <v>1.17</v>
      </c>
      <c r="K121">
        <v>19442</v>
      </c>
      <c r="L121">
        <v>1296</v>
      </c>
      <c r="M121">
        <v>1525</v>
      </c>
      <c r="N121">
        <v>11.7</v>
      </c>
    </row>
    <row r="122" spans="1:14" x14ac:dyDescent="0.25">
      <c r="A122" t="str">
        <f t="shared" si="0"/>
        <v>RHS300X300X16</v>
      </c>
      <c r="B122" t="str">
        <f t="shared" si="1"/>
        <v>300X300X16</v>
      </c>
      <c r="C122">
        <v>300</v>
      </c>
      <c r="D122">
        <v>300</v>
      </c>
      <c r="E122">
        <v>16</v>
      </c>
      <c r="F122">
        <v>24</v>
      </c>
      <c r="G122">
        <v>16</v>
      </c>
      <c r="H122">
        <v>179</v>
      </c>
      <c r="I122">
        <v>141</v>
      </c>
      <c r="J122">
        <v>1.1599999999999999</v>
      </c>
      <c r="K122">
        <v>23850</v>
      </c>
      <c r="L122">
        <v>1590</v>
      </c>
      <c r="M122">
        <v>1895</v>
      </c>
      <c r="N122">
        <v>11.5</v>
      </c>
    </row>
    <row r="123" spans="1:14" x14ac:dyDescent="0.25">
      <c r="A123" t="str">
        <f t="shared" si="0"/>
        <v>RHS350X350X8</v>
      </c>
      <c r="B123" t="str">
        <f t="shared" si="1"/>
        <v>350X350X8</v>
      </c>
      <c r="C123">
        <v>350</v>
      </c>
      <c r="D123">
        <v>350</v>
      </c>
      <c r="E123">
        <v>8</v>
      </c>
      <c r="F123">
        <v>12</v>
      </c>
      <c r="G123">
        <v>8</v>
      </c>
      <c r="H123">
        <v>109</v>
      </c>
      <c r="I123">
        <v>85.4</v>
      </c>
      <c r="J123">
        <v>1.38</v>
      </c>
      <c r="K123">
        <v>21129</v>
      </c>
      <c r="L123">
        <v>1207</v>
      </c>
      <c r="M123">
        <v>1392</v>
      </c>
      <c r="N123">
        <v>13.9</v>
      </c>
    </row>
    <row r="124" spans="1:14" x14ac:dyDescent="0.25">
      <c r="A124" t="str">
        <f t="shared" si="0"/>
        <v>RHS350X350X10</v>
      </c>
      <c r="B124" t="str">
        <f t="shared" si="1"/>
        <v>350X350X10</v>
      </c>
      <c r="C124">
        <v>350</v>
      </c>
      <c r="D124">
        <v>350</v>
      </c>
      <c r="E124">
        <v>10</v>
      </c>
      <c r="F124">
        <v>15</v>
      </c>
      <c r="G124">
        <v>10</v>
      </c>
      <c r="H124">
        <v>135</v>
      </c>
      <c r="I124">
        <v>106</v>
      </c>
      <c r="J124">
        <v>1.37</v>
      </c>
      <c r="K124">
        <v>25884</v>
      </c>
      <c r="L124">
        <v>1479</v>
      </c>
      <c r="M124">
        <v>1715</v>
      </c>
      <c r="N124">
        <v>13.9</v>
      </c>
    </row>
    <row r="125" spans="1:14" x14ac:dyDescent="0.25">
      <c r="A125" t="str">
        <f t="shared" si="0"/>
        <v>RHS350X350X12</v>
      </c>
      <c r="B125" t="str">
        <f t="shared" si="1"/>
        <v>350X350X12</v>
      </c>
      <c r="C125">
        <v>350</v>
      </c>
      <c r="D125">
        <v>350</v>
      </c>
      <c r="E125">
        <v>12</v>
      </c>
      <c r="F125">
        <v>18</v>
      </c>
      <c r="G125">
        <v>12</v>
      </c>
      <c r="H125">
        <v>161</v>
      </c>
      <c r="I125">
        <v>126</v>
      </c>
      <c r="J125">
        <v>1.37</v>
      </c>
      <c r="K125">
        <v>30435</v>
      </c>
      <c r="L125">
        <v>1739</v>
      </c>
      <c r="M125">
        <v>2030</v>
      </c>
      <c r="N125">
        <v>13.8</v>
      </c>
    </row>
    <row r="126" spans="1:14" x14ac:dyDescent="0.25">
      <c r="A126" t="str">
        <f t="shared" si="0"/>
        <v>RHS350X350X12.5</v>
      </c>
      <c r="B126" t="str">
        <f t="shared" si="1"/>
        <v>350X350X12.5</v>
      </c>
      <c r="C126">
        <v>350</v>
      </c>
      <c r="D126">
        <v>350</v>
      </c>
      <c r="E126">
        <v>12.5</v>
      </c>
      <c r="F126">
        <v>18.8</v>
      </c>
      <c r="G126">
        <v>12.5</v>
      </c>
      <c r="H126">
        <v>167</v>
      </c>
      <c r="I126">
        <v>131</v>
      </c>
      <c r="J126">
        <v>1.37</v>
      </c>
      <c r="K126">
        <v>31541</v>
      </c>
      <c r="L126">
        <v>1802</v>
      </c>
      <c r="M126">
        <v>2107</v>
      </c>
      <c r="N126">
        <v>13.7</v>
      </c>
    </row>
    <row r="127" spans="1:14" x14ac:dyDescent="0.25">
      <c r="A127" t="str">
        <f t="shared" si="0"/>
        <v>RHS350X350X16</v>
      </c>
      <c r="B127" t="str">
        <f t="shared" si="1"/>
        <v>350X350X16</v>
      </c>
      <c r="C127">
        <v>350</v>
      </c>
      <c r="D127">
        <v>350</v>
      </c>
      <c r="E127">
        <v>16</v>
      </c>
      <c r="F127">
        <v>24</v>
      </c>
      <c r="G127">
        <v>16</v>
      </c>
      <c r="H127">
        <v>211</v>
      </c>
      <c r="I127">
        <v>166</v>
      </c>
      <c r="J127">
        <v>1.36</v>
      </c>
      <c r="K127">
        <v>38942</v>
      </c>
      <c r="L127">
        <v>2225</v>
      </c>
      <c r="M127">
        <v>2630</v>
      </c>
      <c r="N127">
        <v>13.6</v>
      </c>
    </row>
    <row r="128" spans="1:14" x14ac:dyDescent="0.25">
      <c r="A128" t="str">
        <f t="shared" si="0"/>
        <v>RHS400X400X10</v>
      </c>
      <c r="B128" t="str">
        <f t="shared" si="1"/>
        <v>400X400X10</v>
      </c>
      <c r="C128">
        <v>400</v>
      </c>
      <c r="D128">
        <v>400</v>
      </c>
      <c r="E128">
        <v>10</v>
      </c>
      <c r="F128">
        <v>15</v>
      </c>
      <c r="G128">
        <v>10</v>
      </c>
      <c r="H128">
        <v>155</v>
      </c>
      <c r="I128">
        <v>122</v>
      </c>
      <c r="J128">
        <v>1.57</v>
      </c>
      <c r="K128">
        <v>39128</v>
      </c>
      <c r="L128">
        <v>1956</v>
      </c>
      <c r="M128">
        <v>2260</v>
      </c>
      <c r="N128">
        <v>15.9</v>
      </c>
    </row>
    <row r="129" spans="1:18" x14ac:dyDescent="0.25">
      <c r="A129" t="str">
        <f t="shared" si="0"/>
        <v>RHS400X400X12</v>
      </c>
      <c r="B129" t="str">
        <f t="shared" si="1"/>
        <v>400X400X12</v>
      </c>
      <c r="C129">
        <v>400</v>
      </c>
      <c r="D129">
        <v>400</v>
      </c>
      <c r="E129">
        <v>12</v>
      </c>
      <c r="F129">
        <v>18</v>
      </c>
      <c r="G129">
        <v>12</v>
      </c>
      <c r="H129">
        <v>185</v>
      </c>
      <c r="I129">
        <v>145</v>
      </c>
      <c r="J129">
        <v>1.57</v>
      </c>
      <c r="K129">
        <v>46130</v>
      </c>
      <c r="L129">
        <v>2306</v>
      </c>
      <c r="M129">
        <v>2679</v>
      </c>
      <c r="N129">
        <v>15.8</v>
      </c>
    </row>
    <row r="130" spans="1:18" x14ac:dyDescent="0.25">
      <c r="A130" t="str">
        <f t="shared" si="0"/>
        <v>RHS400X400X12.5</v>
      </c>
      <c r="B130" t="str">
        <f t="shared" si="1"/>
        <v>400X400X12.5</v>
      </c>
      <c r="C130">
        <v>400</v>
      </c>
      <c r="D130">
        <v>400</v>
      </c>
      <c r="E130">
        <v>12.5</v>
      </c>
      <c r="F130">
        <v>18.8</v>
      </c>
      <c r="G130">
        <v>12.5</v>
      </c>
      <c r="H130">
        <v>192</v>
      </c>
      <c r="I130">
        <v>151</v>
      </c>
      <c r="J130">
        <v>1.57</v>
      </c>
      <c r="K130">
        <v>47839</v>
      </c>
      <c r="L130">
        <v>2392</v>
      </c>
      <c r="M130">
        <v>2782</v>
      </c>
      <c r="N130">
        <v>15.8</v>
      </c>
    </row>
    <row r="131" spans="1:18" x14ac:dyDescent="0.25">
      <c r="A131" t="str">
        <f t="shared" si="0"/>
        <v>RHS400X400X16</v>
      </c>
      <c r="B131" t="str">
        <f t="shared" si="1"/>
        <v>400X400X16</v>
      </c>
      <c r="C131">
        <v>400</v>
      </c>
      <c r="D131">
        <v>400</v>
      </c>
      <c r="E131">
        <v>16</v>
      </c>
      <c r="F131">
        <v>24</v>
      </c>
      <c r="G131">
        <v>16</v>
      </c>
      <c r="H131">
        <v>243</v>
      </c>
      <c r="I131">
        <v>191</v>
      </c>
      <c r="J131">
        <v>1.56</v>
      </c>
      <c r="K131">
        <v>59344</v>
      </c>
      <c r="L131">
        <v>2967</v>
      </c>
      <c r="M131">
        <v>3484</v>
      </c>
      <c r="N131">
        <v>15.6</v>
      </c>
    </row>
    <row r="132" spans="1:18" x14ac:dyDescent="0.25">
      <c r="A132" t="str">
        <f t="shared" si="0"/>
        <v>RHS400X400X20</v>
      </c>
      <c r="B132" t="str">
        <f t="shared" si="1"/>
        <v>400X400X20</v>
      </c>
      <c r="C132">
        <v>400</v>
      </c>
      <c r="D132">
        <v>400</v>
      </c>
      <c r="E132">
        <v>20</v>
      </c>
      <c r="F132">
        <v>30</v>
      </c>
      <c r="G132">
        <v>20</v>
      </c>
      <c r="H132">
        <v>300</v>
      </c>
      <c r="I132">
        <v>235</v>
      </c>
      <c r="J132">
        <v>1.55</v>
      </c>
      <c r="K132">
        <v>71535</v>
      </c>
      <c r="L132">
        <v>3577</v>
      </c>
      <c r="M132">
        <v>4247</v>
      </c>
      <c r="N132">
        <v>15.4</v>
      </c>
    </row>
    <row r="133" spans="1:18" x14ac:dyDescent="0.25">
      <c r="A133" t="str">
        <f t="shared" si="0"/>
        <v>RHS50X25X2.5</v>
      </c>
      <c r="B133" t="str">
        <f t="shared" si="1"/>
        <v>50X25X2.5</v>
      </c>
      <c r="C133">
        <v>50</v>
      </c>
      <c r="D133">
        <v>25</v>
      </c>
      <c r="E133">
        <v>2.5</v>
      </c>
      <c r="F133">
        <v>3.8</v>
      </c>
      <c r="G133">
        <v>2.5</v>
      </c>
      <c r="H133">
        <v>3.43</v>
      </c>
      <c r="I133">
        <v>2.69</v>
      </c>
      <c r="J133">
        <v>0.14399999999999999</v>
      </c>
      <c r="K133">
        <v>10.4</v>
      </c>
      <c r="L133">
        <v>3.39</v>
      </c>
      <c r="M133">
        <v>4.16</v>
      </c>
      <c r="N133">
        <v>2.71</v>
      </c>
      <c r="O133">
        <v>5.33</v>
      </c>
      <c r="P133">
        <v>3.22</v>
      </c>
      <c r="Q133">
        <v>1.74</v>
      </c>
      <c r="R133">
        <v>0.99399999999999999</v>
      </c>
    </row>
    <row r="134" spans="1:18" x14ac:dyDescent="0.25">
      <c r="A134" t="str">
        <f t="shared" si="0"/>
        <v>RHS50X25X3</v>
      </c>
      <c r="B134" t="str">
        <f t="shared" si="1"/>
        <v>50X25X3</v>
      </c>
      <c r="C134">
        <v>50</v>
      </c>
      <c r="D134">
        <v>25</v>
      </c>
      <c r="E134">
        <v>3</v>
      </c>
      <c r="F134">
        <v>4.5</v>
      </c>
      <c r="G134">
        <v>3</v>
      </c>
      <c r="H134">
        <v>4.04</v>
      </c>
      <c r="I134">
        <v>3.17</v>
      </c>
      <c r="J134">
        <v>0.14199999999999999</v>
      </c>
      <c r="K134">
        <v>11.9</v>
      </c>
      <c r="L134">
        <v>3.83</v>
      </c>
      <c r="M134">
        <v>4.76</v>
      </c>
      <c r="N134">
        <v>3.06</v>
      </c>
      <c r="O134">
        <v>6.18</v>
      </c>
      <c r="P134">
        <v>3.71</v>
      </c>
      <c r="Q134">
        <v>1.72</v>
      </c>
      <c r="R134">
        <v>0.97299999999999998</v>
      </c>
    </row>
    <row r="135" spans="1:18" x14ac:dyDescent="0.25">
      <c r="A135" t="str">
        <f t="shared" si="0"/>
        <v>RHS50X30X2.5</v>
      </c>
      <c r="B135" t="str">
        <f t="shared" si="1"/>
        <v>50X30X2.5</v>
      </c>
      <c r="C135">
        <v>50</v>
      </c>
      <c r="D135">
        <v>30</v>
      </c>
      <c r="E135">
        <v>2.5</v>
      </c>
      <c r="F135">
        <v>3.8</v>
      </c>
      <c r="G135">
        <v>2.5</v>
      </c>
      <c r="H135">
        <v>3.68</v>
      </c>
      <c r="I135">
        <v>2.89</v>
      </c>
      <c r="J135">
        <v>0.154</v>
      </c>
      <c r="K135">
        <v>11.8</v>
      </c>
      <c r="L135">
        <v>5.22</v>
      </c>
      <c r="M135">
        <v>4.7300000000000004</v>
      </c>
      <c r="N135">
        <v>3.48</v>
      </c>
      <c r="O135">
        <v>5.92</v>
      </c>
      <c r="P135">
        <v>4.1100000000000003</v>
      </c>
      <c r="Q135">
        <v>1.79</v>
      </c>
      <c r="R135">
        <v>1.19</v>
      </c>
    </row>
    <row r="136" spans="1:18" x14ac:dyDescent="0.25">
      <c r="A136" t="str">
        <f t="shared" si="0"/>
        <v>RHS50X30X3</v>
      </c>
      <c r="B136" t="str">
        <f t="shared" si="1"/>
        <v>50X30X3</v>
      </c>
      <c r="C136">
        <v>50</v>
      </c>
      <c r="D136">
        <v>30</v>
      </c>
      <c r="E136">
        <v>3</v>
      </c>
      <c r="F136">
        <v>4.5</v>
      </c>
      <c r="G136">
        <v>3</v>
      </c>
      <c r="H136">
        <v>4.34</v>
      </c>
      <c r="I136">
        <v>3.41</v>
      </c>
      <c r="J136">
        <v>0.152</v>
      </c>
      <c r="K136">
        <v>13.6</v>
      </c>
      <c r="L136">
        <v>5.94</v>
      </c>
      <c r="M136">
        <v>5.43</v>
      </c>
      <c r="N136">
        <v>3.96</v>
      </c>
      <c r="O136">
        <v>6.88</v>
      </c>
      <c r="P136">
        <v>4.76</v>
      </c>
      <c r="Q136">
        <v>1.77</v>
      </c>
      <c r="R136">
        <v>1.17</v>
      </c>
    </row>
    <row r="137" spans="1:18" x14ac:dyDescent="0.25">
      <c r="A137" t="str">
        <f t="shared" si="0"/>
        <v>RHS50X30X4</v>
      </c>
      <c r="B137" t="str">
        <f t="shared" si="1"/>
        <v>50X30X4</v>
      </c>
      <c r="C137">
        <v>50</v>
      </c>
      <c r="D137">
        <v>30</v>
      </c>
      <c r="E137">
        <v>4</v>
      </c>
      <c r="F137">
        <v>6</v>
      </c>
      <c r="G137">
        <v>4</v>
      </c>
      <c r="H137">
        <v>5.59</v>
      </c>
      <c r="I137">
        <v>4.3899999999999997</v>
      </c>
      <c r="J137">
        <v>0.15</v>
      </c>
      <c r="K137">
        <v>16.5</v>
      </c>
      <c r="L137">
        <v>7.08</v>
      </c>
      <c r="M137">
        <v>6.6</v>
      </c>
      <c r="N137">
        <v>4.72</v>
      </c>
      <c r="O137">
        <v>8.59</v>
      </c>
      <c r="P137">
        <v>5.88</v>
      </c>
      <c r="Q137">
        <v>1.72</v>
      </c>
      <c r="R137">
        <v>1.1299999999999999</v>
      </c>
    </row>
    <row r="138" spans="1:18" x14ac:dyDescent="0.25">
      <c r="A138" t="str">
        <f t="shared" si="0"/>
        <v>RHS50X30X5</v>
      </c>
      <c r="B138" t="str">
        <f t="shared" si="1"/>
        <v>50X30X5</v>
      </c>
      <c r="C138">
        <v>50</v>
      </c>
      <c r="D138">
        <v>30</v>
      </c>
      <c r="E138">
        <v>5</v>
      </c>
      <c r="F138">
        <v>7.5</v>
      </c>
      <c r="G138">
        <v>5</v>
      </c>
      <c r="H138">
        <v>6.73</v>
      </c>
      <c r="I138">
        <v>5.28</v>
      </c>
      <c r="J138">
        <v>0.14699999999999999</v>
      </c>
      <c r="K138">
        <v>18.7</v>
      </c>
      <c r="L138">
        <v>7.89</v>
      </c>
      <c r="M138">
        <v>7.49</v>
      </c>
      <c r="N138">
        <v>5.26</v>
      </c>
      <c r="O138">
        <v>10</v>
      </c>
      <c r="P138">
        <v>6.8</v>
      </c>
      <c r="Q138">
        <v>1.67</v>
      </c>
      <c r="R138">
        <v>1.08</v>
      </c>
    </row>
    <row r="139" spans="1:18" x14ac:dyDescent="0.25">
      <c r="A139" t="str">
        <f t="shared" si="0"/>
        <v>RHS60X40X2.5</v>
      </c>
      <c r="B139" t="str">
        <f t="shared" si="1"/>
        <v>60X40X2.5</v>
      </c>
      <c r="C139">
        <v>60</v>
      </c>
      <c r="D139">
        <v>40</v>
      </c>
      <c r="E139">
        <v>2.5</v>
      </c>
      <c r="F139">
        <v>3.8</v>
      </c>
      <c r="G139">
        <v>2.5</v>
      </c>
      <c r="H139">
        <v>4.68</v>
      </c>
      <c r="I139">
        <v>3.68</v>
      </c>
      <c r="J139">
        <v>0.19400000000000001</v>
      </c>
      <c r="K139">
        <v>22.8</v>
      </c>
      <c r="L139">
        <v>12.1</v>
      </c>
      <c r="M139">
        <v>7.61</v>
      </c>
      <c r="N139">
        <v>6.03</v>
      </c>
      <c r="O139">
        <v>9.32</v>
      </c>
      <c r="P139">
        <v>7.02</v>
      </c>
      <c r="Q139">
        <v>2.21</v>
      </c>
      <c r="R139">
        <v>1.6</v>
      </c>
    </row>
    <row r="140" spans="1:18" x14ac:dyDescent="0.25">
      <c r="A140" t="str">
        <f t="shared" si="0"/>
        <v>RHS60X40X3</v>
      </c>
      <c r="B140" t="str">
        <f t="shared" si="1"/>
        <v>60X40X3</v>
      </c>
      <c r="C140">
        <v>60</v>
      </c>
      <c r="D140">
        <v>40</v>
      </c>
      <c r="E140">
        <v>3</v>
      </c>
      <c r="F140">
        <v>4.5</v>
      </c>
      <c r="G140">
        <v>3</v>
      </c>
      <c r="H140">
        <v>5.54</v>
      </c>
      <c r="I140">
        <v>4.3499999999999996</v>
      </c>
      <c r="J140">
        <v>0.192</v>
      </c>
      <c r="K140">
        <v>26.5</v>
      </c>
      <c r="L140">
        <v>13.9</v>
      </c>
      <c r="M140">
        <v>8.82</v>
      </c>
      <c r="N140">
        <v>6.95</v>
      </c>
      <c r="O140">
        <v>10.9</v>
      </c>
      <c r="P140">
        <v>8.19</v>
      </c>
      <c r="Q140">
        <v>2.1800000000000002</v>
      </c>
      <c r="R140">
        <v>1.58</v>
      </c>
    </row>
    <row r="141" spans="1:18" x14ac:dyDescent="0.25">
      <c r="A141" t="str">
        <f t="shared" si="0"/>
        <v>RHS60X40X4</v>
      </c>
      <c r="B141" t="str">
        <f t="shared" si="1"/>
        <v>60X40X4</v>
      </c>
      <c r="C141">
        <v>60</v>
      </c>
      <c r="D141">
        <v>40</v>
      </c>
      <c r="E141">
        <v>4</v>
      </c>
      <c r="F141">
        <v>6</v>
      </c>
      <c r="G141">
        <v>4</v>
      </c>
      <c r="H141">
        <v>7.19</v>
      </c>
      <c r="I141">
        <v>5.64</v>
      </c>
      <c r="J141">
        <v>0.19</v>
      </c>
      <c r="K141">
        <v>32.799999999999997</v>
      </c>
      <c r="L141">
        <v>17</v>
      </c>
      <c r="M141">
        <v>10.9</v>
      </c>
      <c r="N141">
        <v>8.52</v>
      </c>
      <c r="O141">
        <v>13.8</v>
      </c>
      <c r="P141">
        <v>10.3</v>
      </c>
      <c r="Q141">
        <v>2.14</v>
      </c>
      <c r="R141">
        <v>1.54</v>
      </c>
    </row>
    <row r="142" spans="1:18" x14ac:dyDescent="0.25">
      <c r="A142" t="str">
        <f t="shared" si="0"/>
        <v>RHS60X40X5</v>
      </c>
      <c r="B142" t="str">
        <f t="shared" si="1"/>
        <v>60X40X5</v>
      </c>
      <c r="C142">
        <v>60</v>
      </c>
      <c r="D142">
        <v>40</v>
      </c>
      <c r="E142">
        <v>5</v>
      </c>
      <c r="F142">
        <v>7.5</v>
      </c>
      <c r="G142">
        <v>5</v>
      </c>
      <c r="H142">
        <v>8.73</v>
      </c>
      <c r="I142">
        <v>6.85</v>
      </c>
      <c r="J142">
        <v>0.187</v>
      </c>
      <c r="K142">
        <v>38.1</v>
      </c>
      <c r="L142">
        <v>19.5</v>
      </c>
      <c r="M142">
        <v>12.7</v>
      </c>
      <c r="N142">
        <v>9.77</v>
      </c>
      <c r="O142">
        <v>16.399999999999999</v>
      </c>
      <c r="P142">
        <v>12.2</v>
      </c>
      <c r="Q142">
        <v>2.09</v>
      </c>
      <c r="R142">
        <v>1.5</v>
      </c>
    </row>
    <row r="143" spans="1:18" x14ac:dyDescent="0.25">
      <c r="A143" t="str">
        <f t="shared" si="0"/>
        <v>RHS60X40X6</v>
      </c>
      <c r="B143" t="str">
        <f t="shared" si="1"/>
        <v>60X40X6</v>
      </c>
      <c r="C143">
        <v>60</v>
      </c>
      <c r="D143">
        <v>40</v>
      </c>
      <c r="E143">
        <v>6</v>
      </c>
      <c r="F143">
        <v>9</v>
      </c>
      <c r="G143">
        <v>6</v>
      </c>
      <c r="H143">
        <v>10.199999999999999</v>
      </c>
      <c r="I143">
        <v>7.99</v>
      </c>
      <c r="J143">
        <v>0.185</v>
      </c>
      <c r="K143">
        <v>42.3</v>
      </c>
      <c r="L143">
        <v>21.4</v>
      </c>
      <c r="M143">
        <v>14.1</v>
      </c>
      <c r="N143">
        <v>10.7</v>
      </c>
      <c r="O143">
        <v>18.600000000000001</v>
      </c>
      <c r="P143">
        <v>13.7</v>
      </c>
      <c r="Q143">
        <v>2.04</v>
      </c>
      <c r="R143">
        <v>1.45</v>
      </c>
    </row>
    <row r="144" spans="1:18" x14ac:dyDescent="0.25">
      <c r="A144" t="str">
        <f t="shared" si="0"/>
        <v>RHS60X40X6.3</v>
      </c>
      <c r="B144" t="str">
        <f t="shared" si="1"/>
        <v>60X40X6.3</v>
      </c>
      <c r="C144">
        <v>60</v>
      </c>
      <c r="D144">
        <v>40</v>
      </c>
      <c r="E144">
        <v>6.3</v>
      </c>
      <c r="F144">
        <v>9.5</v>
      </c>
      <c r="G144">
        <v>6.3</v>
      </c>
      <c r="H144">
        <v>10.6</v>
      </c>
      <c r="I144">
        <v>8.31</v>
      </c>
      <c r="J144">
        <v>0.184</v>
      </c>
      <c r="K144">
        <v>43.4</v>
      </c>
      <c r="L144">
        <v>21.9</v>
      </c>
      <c r="M144">
        <v>14.5</v>
      </c>
      <c r="N144">
        <v>11</v>
      </c>
      <c r="O144">
        <v>19.2</v>
      </c>
      <c r="P144">
        <v>14.2</v>
      </c>
      <c r="Q144">
        <v>2.02</v>
      </c>
      <c r="R144">
        <v>1.44</v>
      </c>
    </row>
    <row r="145" spans="1:18" x14ac:dyDescent="0.25">
      <c r="A145" t="str">
        <f t="shared" si="0"/>
        <v>RHS80X40X3</v>
      </c>
      <c r="B145" t="str">
        <f t="shared" si="1"/>
        <v>80X40X3</v>
      </c>
      <c r="C145">
        <v>80</v>
      </c>
      <c r="D145">
        <v>40</v>
      </c>
      <c r="E145">
        <v>3</v>
      </c>
      <c r="F145">
        <v>4.5</v>
      </c>
      <c r="G145">
        <v>3</v>
      </c>
      <c r="H145">
        <v>6.74</v>
      </c>
      <c r="I145">
        <v>5.29</v>
      </c>
      <c r="J145">
        <v>0.23200000000000001</v>
      </c>
      <c r="K145">
        <v>54.2</v>
      </c>
      <c r="L145">
        <v>18</v>
      </c>
      <c r="M145">
        <v>13.6</v>
      </c>
      <c r="N145">
        <v>9</v>
      </c>
      <c r="O145">
        <v>17.100000000000001</v>
      </c>
      <c r="P145">
        <v>10.4</v>
      </c>
      <c r="Q145">
        <v>2.84</v>
      </c>
      <c r="R145">
        <v>1.63</v>
      </c>
    </row>
    <row r="146" spans="1:18" x14ac:dyDescent="0.25">
      <c r="A146" t="str">
        <f t="shared" si="0"/>
        <v>RHS80X40X4</v>
      </c>
      <c r="B146" t="str">
        <f t="shared" si="1"/>
        <v>80X40X4</v>
      </c>
      <c r="C146">
        <v>80</v>
      </c>
      <c r="D146">
        <v>40</v>
      </c>
      <c r="E146">
        <v>4</v>
      </c>
      <c r="F146">
        <v>6</v>
      </c>
      <c r="G146">
        <v>4</v>
      </c>
      <c r="H146">
        <v>8.7899999999999991</v>
      </c>
      <c r="I146">
        <v>6.9</v>
      </c>
      <c r="J146">
        <v>0.23</v>
      </c>
      <c r="K146">
        <v>68.2</v>
      </c>
      <c r="L146">
        <v>22.2</v>
      </c>
      <c r="M146">
        <v>17.100000000000001</v>
      </c>
      <c r="N146">
        <v>11.1</v>
      </c>
      <c r="O146">
        <v>21.8</v>
      </c>
      <c r="P146">
        <v>13.2</v>
      </c>
      <c r="Q146">
        <v>2.79</v>
      </c>
      <c r="R146">
        <v>1.59</v>
      </c>
    </row>
    <row r="147" spans="1:18" x14ac:dyDescent="0.25">
      <c r="A147" t="str">
        <f t="shared" si="0"/>
        <v>RHS80X40X5</v>
      </c>
      <c r="B147" t="str">
        <f t="shared" si="1"/>
        <v>80X40X5</v>
      </c>
      <c r="C147">
        <v>80</v>
      </c>
      <c r="D147">
        <v>40</v>
      </c>
      <c r="E147">
        <v>5</v>
      </c>
      <c r="F147">
        <v>7.5</v>
      </c>
      <c r="G147">
        <v>5</v>
      </c>
      <c r="H147">
        <v>10.7</v>
      </c>
      <c r="I147">
        <v>8.42</v>
      </c>
      <c r="J147">
        <v>0.22700000000000001</v>
      </c>
      <c r="K147">
        <v>80.3</v>
      </c>
      <c r="L147">
        <v>25.7</v>
      </c>
      <c r="M147">
        <v>20.100000000000001</v>
      </c>
      <c r="N147">
        <v>12.9</v>
      </c>
      <c r="O147">
        <v>26.1</v>
      </c>
      <c r="P147">
        <v>15.7</v>
      </c>
      <c r="Q147">
        <v>2.74</v>
      </c>
      <c r="R147">
        <v>1.55</v>
      </c>
    </row>
    <row r="148" spans="1:18" x14ac:dyDescent="0.25">
      <c r="A148" t="str">
        <f t="shared" si="0"/>
        <v>RHS80X40X6</v>
      </c>
      <c r="B148" t="str">
        <f t="shared" si="1"/>
        <v>80X40X6</v>
      </c>
      <c r="C148">
        <v>80</v>
      </c>
      <c r="D148">
        <v>40</v>
      </c>
      <c r="E148">
        <v>6</v>
      </c>
      <c r="F148">
        <v>9</v>
      </c>
      <c r="G148">
        <v>6</v>
      </c>
      <c r="H148">
        <v>12.6</v>
      </c>
      <c r="I148">
        <v>9.8699999999999992</v>
      </c>
      <c r="J148">
        <v>0.22500000000000001</v>
      </c>
      <c r="K148">
        <v>90.5</v>
      </c>
      <c r="L148">
        <v>28.5</v>
      </c>
      <c r="M148">
        <v>22.6</v>
      </c>
      <c r="N148">
        <v>14.2</v>
      </c>
      <c r="O148">
        <v>30</v>
      </c>
      <c r="P148">
        <v>17.8</v>
      </c>
      <c r="Q148">
        <v>2.68</v>
      </c>
      <c r="R148">
        <v>1.5</v>
      </c>
    </row>
    <row r="149" spans="1:18" x14ac:dyDescent="0.25">
      <c r="A149" t="str">
        <f t="shared" si="0"/>
        <v>RHS80X40X6.3</v>
      </c>
      <c r="B149" t="str">
        <f t="shared" si="1"/>
        <v>80X40X6.3</v>
      </c>
      <c r="C149">
        <v>80</v>
      </c>
      <c r="D149">
        <v>40</v>
      </c>
      <c r="E149">
        <v>6.3</v>
      </c>
      <c r="F149">
        <v>9.5</v>
      </c>
      <c r="G149">
        <v>6.3</v>
      </c>
      <c r="H149">
        <v>13.1</v>
      </c>
      <c r="I149">
        <v>10.3</v>
      </c>
      <c r="J149">
        <v>0.224</v>
      </c>
      <c r="K149">
        <v>93.3</v>
      </c>
      <c r="L149">
        <v>29.2</v>
      </c>
      <c r="M149">
        <v>23.3</v>
      </c>
      <c r="N149">
        <v>14.6</v>
      </c>
      <c r="O149">
        <v>31.1</v>
      </c>
      <c r="P149">
        <v>18.399999999999999</v>
      </c>
      <c r="Q149">
        <v>2.67</v>
      </c>
      <c r="R149">
        <v>1.49</v>
      </c>
    </row>
    <row r="150" spans="1:18" x14ac:dyDescent="0.25">
      <c r="A150" t="str">
        <f t="shared" si="0"/>
        <v>RHS80X40X8</v>
      </c>
      <c r="B150" t="str">
        <f t="shared" si="1"/>
        <v>80X40X8</v>
      </c>
      <c r="C150">
        <v>80</v>
      </c>
      <c r="D150">
        <v>40</v>
      </c>
      <c r="E150">
        <v>8</v>
      </c>
      <c r="F150">
        <v>12</v>
      </c>
      <c r="G150">
        <v>8</v>
      </c>
      <c r="H150">
        <v>16</v>
      </c>
      <c r="I150">
        <v>12.5</v>
      </c>
      <c r="J150">
        <v>0.219</v>
      </c>
      <c r="K150">
        <v>106</v>
      </c>
      <c r="L150">
        <v>32.1</v>
      </c>
      <c r="M150">
        <v>26.5</v>
      </c>
      <c r="N150">
        <v>16.100000000000001</v>
      </c>
      <c r="O150">
        <v>36.5</v>
      </c>
      <c r="P150">
        <v>21.2</v>
      </c>
      <c r="Q150">
        <v>2.58</v>
      </c>
      <c r="R150">
        <v>1.42</v>
      </c>
    </row>
    <row r="151" spans="1:18" x14ac:dyDescent="0.25">
      <c r="A151" t="str">
        <f t="shared" si="0"/>
        <v>RHS90X50X3</v>
      </c>
      <c r="B151" t="str">
        <f t="shared" si="1"/>
        <v>90X50X3</v>
      </c>
      <c r="C151">
        <v>90</v>
      </c>
      <c r="D151">
        <v>50</v>
      </c>
      <c r="E151">
        <v>3</v>
      </c>
      <c r="F151">
        <v>4.5</v>
      </c>
      <c r="G151">
        <v>3</v>
      </c>
      <c r="H151">
        <v>7.94</v>
      </c>
      <c r="I151">
        <v>6.24</v>
      </c>
      <c r="J151">
        <v>0.27200000000000002</v>
      </c>
      <c r="K151">
        <v>84.4</v>
      </c>
      <c r="L151">
        <v>33.5</v>
      </c>
      <c r="M151">
        <v>18.8</v>
      </c>
      <c r="N151">
        <v>13.4</v>
      </c>
      <c r="O151">
        <v>23.2</v>
      </c>
      <c r="P151">
        <v>15.3</v>
      </c>
      <c r="Q151">
        <v>3.26</v>
      </c>
      <c r="R151">
        <v>2.0499999999999998</v>
      </c>
    </row>
    <row r="152" spans="1:18" x14ac:dyDescent="0.25">
      <c r="A152" t="str">
        <f t="shared" si="0"/>
        <v>RHS90X50X4</v>
      </c>
      <c r="B152" t="str">
        <f t="shared" si="1"/>
        <v>90X50X4</v>
      </c>
      <c r="C152">
        <v>90</v>
      </c>
      <c r="D152">
        <v>50</v>
      </c>
      <c r="E152">
        <v>4</v>
      </c>
      <c r="F152">
        <v>6</v>
      </c>
      <c r="G152">
        <v>4</v>
      </c>
      <c r="H152">
        <v>10.4</v>
      </c>
      <c r="I152">
        <v>8.15</v>
      </c>
      <c r="J152">
        <v>0.27</v>
      </c>
      <c r="K152">
        <v>107</v>
      </c>
      <c r="L152">
        <v>41.9</v>
      </c>
      <c r="M152">
        <v>23.8</v>
      </c>
      <c r="N152">
        <v>16.8</v>
      </c>
      <c r="O152">
        <v>29.8</v>
      </c>
      <c r="P152">
        <v>19.600000000000001</v>
      </c>
      <c r="Q152">
        <v>3.21</v>
      </c>
      <c r="R152">
        <v>2.0099999999999998</v>
      </c>
    </row>
    <row r="153" spans="1:18" x14ac:dyDescent="0.25">
      <c r="A153" t="str">
        <f t="shared" si="0"/>
        <v>RHS90X50X5</v>
      </c>
      <c r="B153" t="str">
        <f t="shared" si="1"/>
        <v>90X50X5</v>
      </c>
      <c r="C153">
        <v>90</v>
      </c>
      <c r="D153">
        <v>50</v>
      </c>
      <c r="E153">
        <v>5</v>
      </c>
      <c r="F153">
        <v>7.5</v>
      </c>
      <c r="G153">
        <v>5</v>
      </c>
      <c r="H153">
        <v>12.7</v>
      </c>
      <c r="I153">
        <v>9.99</v>
      </c>
      <c r="J153">
        <v>0.26700000000000002</v>
      </c>
      <c r="K153">
        <v>127</v>
      </c>
      <c r="L153">
        <v>49.2</v>
      </c>
      <c r="M153">
        <v>28.3</v>
      </c>
      <c r="N153">
        <v>19.7</v>
      </c>
      <c r="O153">
        <v>36</v>
      </c>
      <c r="P153">
        <v>23.5</v>
      </c>
      <c r="Q153">
        <v>3.16</v>
      </c>
      <c r="R153">
        <v>1.97</v>
      </c>
    </row>
    <row r="154" spans="1:18" x14ac:dyDescent="0.25">
      <c r="A154" t="str">
        <f t="shared" si="0"/>
        <v>RHS90X50X6</v>
      </c>
      <c r="B154" t="str">
        <f t="shared" si="1"/>
        <v>90X50X6</v>
      </c>
      <c r="C154">
        <v>90</v>
      </c>
      <c r="D154">
        <v>50</v>
      </c>
      <c r="E154">
        <v>6</v>
      </c>
      <c r="F154">
        <v>9</v>
      </c>
      <c r="G154">
        <v>6</v>
      </c>
      <c r="H154">
        <v>15</v>
      </c>
      <c r="I154">
        <v>11.8</v>
      </c>
      <c r="J154">
        <v>0.26500000000000001</v>
      </c>
      <c r="K154">
        <v>145</v>
      </c>
      <c r="L154">
        <v>55.4</v>
      </c>
      <c r="M154">
        <v>32.200000000000003</v>
      </c>
      <c r="N154">
        <v>22.1</v>
      </c>
      <c r="O154">
        <v>41.6</v>
      </c>
      <c r="P154">
        <v>27</v>
      </c>
      <c r="Q154">
        <v>3.11</v>
      </c>
      <c r="R154">
        <v>1.92</v>
      </c>
    </row>
    <row r="155" spans="1:18" x14ac:dyDescent="0.25">
      <c r="A155" t="str">
        <f t="shared" si="0"/>
        <v>RHS90X50X6.3</v>
      </c>
      <c r="B155" t="str">
        <f t="shared" si="1"/>
        <v>90X50X6.3</v>
      </c>
      <c r="C155">
        <v>90</v>
      </c>
      <c r="D155">
        <v>50</v>
      </c>
      <c r="E155">
        <v>6.3</v>
      </c>
      <c r="F155">
        <v>9.5</v>
      </c>
      <c r="G155">
        <v>6.3</v>
      </c>
      <c r="H155">
        <v>15.6</v>
      </c>
      <c r="I155">
        <v>12.3</v>
      </c>
      <c r="J155">
        <v>0.26400000000000001</v>
      </c>
      <c r="K155">
        <v>150</v>
      </c>
      <c r="L155">
        <v>57</v>
      </c>
      <c r="M155">
        <v>33.299999999999997</v>
      </c>
      <c r="N155">
        <v>22.8</v>
      </c>
      <c r="O155">
        <v>43.2</v>
      </c>
      <c r="P155">
        <v>28</v>
      </c>
      <c r="Q155">
        <v>3.1</v>
      </c>
      <c r="R155">
        <v>1.91</v>
      </c>
    </row>
    <row r="156" spans="1:18" x14ac:dyDescent="0.25">
      <c r="A156" t="str">
        <f t="shared" si="0"/>
        <v>RHS90X50X8</v>
      </c>
      <c r="B156" t="str">
        <f t="shared" si="1"/>
        <v>90X50X8</v>
      </c>
      <c r="C156">
        <v>90</v>
      </c>
      <c r="D156">
        <v>50</v>
      </c>
      <c r="E156">
        <v>8</v>
      </c>
      <c r="F156">
        <v>12</v>
      </c>
      <c r="G156">
        <v>8</v>
      </c>
      <c r="H156">
        <v>19.2</v>
      </c>
      <c r="I156">
        <v>15</v>
      </c>
      <c r="J156">
        <v>0.25900000000000001</v>
      </c>
      <c r="K156">
        <v>174</v>
      </c>
      <c r="L156">
        <v>64.599999999999994</v>
      </c>
      <c r="M156">
        <v>38.6</v>
      </c>
      <c r="N156">
        <v>25.8</v>
      </c>
      <c r="O156">
        <v>51.4</v>
      </c>
      <c r="P156">
        <v>32.9</v>
      </c>
      <c r="Q156">
        <v>3.01</v>
      </c>
      <c r="R156">
        <v>1.84</v>
      </c>
    </row>
    <row r="157" spans="1:18" x14ac:dyDescent="0.25">
      <c r="A157" t="str">
        <f t="shared" si="0"/>
        <v>RHS100X50X3</v>
      </c>
      <c r="B157" t="str">
        <f t="shared" si="1"/>
        <v>100X50X3</v>
      </c>
      <c r="C157">
        <v>100</v>
      </c>
      <c r="D157">
        <v>50</v>
      </c>
      <c r="E157">
        <v>3</v>
      </c>
      <c r="F157">
        <v>4.5</v>
      </c>
      <c r="G157">
        <v>3</v>
      </c>
      <c r="H157">
        <v>8.5399999999999991</v>
      </c>
      <c r="I157">
        <v>6.71</v>
      </c>
      <c r="J157">
        <v>0.29199999999999998</v>
      </c>
      <c r="K157">
        <v>110</v>
      </c>
      <c r="L157">
        <v>36.799999999999997</v>
      </c>
      <c r="M157">
        <v>21.9</v>
      </c>
      <c r="N157">
        <v>14.7</v>
      </c>
      <c r="O157">
        <v>27.3</v>
      </c>
      <c r="P157">
        <v>16.8</v>
      </c>
      <c r="Q157">
        <v>3.58</v>
      </c>
      <c r="R157">
        <v>2.08</v>
      </c>
    </row>
    <row r="158" spans="1:18" x14ac:dyDescent="0.25">
      <c r="A158" t="str">
        <f t="shared" si="0"/>
        <v>RHS100X50X4</v>
      </c>
      <c r="B158" t="str">
        <f t="shared" si="1"/>
        <v>100X50X4</v>
      </c>
      <c r="C158">
        <v>100</v>
      </c>
      <c r="D158">
        <v>50</v>
      </c>
      <c r="E158">
        <v>4</v>
      </c>
      <c r="F158">
        <v>6</v>
      </c>
      <c r="G158">
        <v>4</v>
      </c>
      <c r="H158">
        <v>11.2</v>
      </c>
      <c r="I158">
        <v>8.7799999999999994</v>
      </c>
      <c r="J158">
        <v>0.28999999999999998</v>
      </c>
      <c r="K158">
        <v>140</v>
      </c>
      <c r="L158">
        <v>46.2</v>
      </c>
      <c r="M158">
        <v>27.9</v>
      </c>
      <c r="N158">
        <v>18.5</v>
      </c>
      <c r="O158">
        <v>35.200000000000003</v>
      </c>
      <c r="P158">
        <v>21.9</v>
      </c>
      <c r="Q158">
        <v>3.53</v>
      </c>
      <c r="R158">
        <v>2.0299999999999998</v>
      </c>
    </row>
    <row r="159" spans="1:18" x14ac:dyDescent="0.25">
      <c r="A159" t="str">
        <f t="shared" si="0"/>
        <v>RHS100X50X5</v>
      </c>
      <c r="B159" t="str">
        <f t="shared" si="1"/>
        <v>100X50X5</v>
      </c>
      <c r="C159">
        <v>100</v>
      </c>
      <c r="D159">
        <v>50</v>
      </c>
      <c r="E159">
        <v>5</v>
      </c>
      <c r="F159">
        <v>7.5</v>
      </c>
      <c r="G159">
        <v>5</v>
      </c>
      <c r="H159">
        <v>13.7</v>
      </c>
      <c r="I159">
        <v>10.8</v>
      </c>
      <c r="J159">
        <v>0.28699999999999998</v>
      </c>
      <c r="K159">
        <v>167</v>
      </c>
      <c r="L159">
        <v>54.3</v>
      </c>
      <c r="M159">
        <v>33.299999999999997</v>
      </c>
      <c r="N159">
        <v>21.7</v>
      </c>
      <c r="O159">
        <v>42.6</v>
      </c>
      <c r="P159">
        <v>25.8</v>
      </c>
      <c r="Q159">
        <v>3.48</v>
      </c>
      <c r="R159">
        <v>1.99</v>
      </c>
    </row>
    <row r="160" spans="1:18" x14ac:dyDescent="0.25">
      <c r="A160" t="str">
        <f t="shared" si="0"/>
        <v>RHS100X50X6</v>
      </c>
      <c r="B160" t="str">
        <f t="shared" si="1"/>
        <v>100X50X6</v>
      </c>
      <c r="C160">
        <v>100</v>
      </c>
      <c r="D160">
        <v>50</v>
      </c>
      <c r="E160">
        <v>6</v>
      </c>
      <c r="F160">
        <v>9</v>
      </c>
      <c r="G160">
        <v>6</v>
      </c>
      <c r="H160">
        <v>16.2</v>
      </c>
      <c r="I160">
        <v>12.7</v>
      </c>
      <c r="J160">
        <v>0.28499999999999998</v>
      </c>
      <c r="K160">
        <v>190</v>
      </c>
      <c r="L160">
        <v>61.2</v>
      </c>
      <c r="M160">
        <v>38.1</v>
      </c>
      <c r="N160">
        <v>24.5</v>
      </c>
      <c r="O160">
        <v>49.4</v>
      </c>
      <c r="P160">
        <v>29.7</v>
      </c>
      <c r="Q160">
        <v>3.43</v>
      </c>
      <c r="R160">
        <v>1.95</v>
      </c>
    </row>
    <row r="161" spans="1:18" x14ac:dyDescent="0.25">
      <c r="A161" t="str">
        <f t="shared" si="0"/>
        <v>RHS100X50X6.3</v>
      </c>
      <c r="B161" t="str">
        <f t="shared" si="1"/>
        <v>100X50X6.3</v>
      </c>
      <c r="C161">
        <v>100</v>
      </c>
      <c r="D161">
        <v>50</v>
      </c>
      <c r="E161">
        <v>6.3</v>
      </c>
      <c r="F161">
        <v>9.5</v>
      </c>
      <c r="G161">
        <v>6.3</v>
      </c>
      <c r="H161">
        <v>16.899999999999999</v>
      </c>
      <c r="I161">
        <v>13.3</v>
      </c>
      <c r="J161">
        <v>0.28399999999999997</v>
      </c>
      <c r="K161">
        <v>197</v>
      </c>
      <c r="L161">
        <v>63</v>
      </c>
      <c r="M161">
        <v>39.4</v>
      </c>
      <c r="N161">
        <v>25.2</v>
      </c>
      <c r="O161">
        <v>51.3</v>
      </c>
      <c r="P161">
        <v>30.8</v>
      </c>
      <c r="Q161">
        <v>3.42</v>
      </c>
      <c r="R161">
        <v>1.93</v>
      </c>
    </row>
    <row r="162" spans="1:18" x14ac:dyDescent="0.25">
      <c r="A162" t="str">
        <f t="shared" si="0"/>
        <v>RHS100X50X8</v>
      </c>
      <c r="B162" t="str">
        <f t="shared" si="1"/>
        <v>100X50X8</v>
      </c>
      <c r="C162">
        <v>100</v>
      </c>
      <c r="D162">
        <v>50</v>
      </c>
      <c r="E162">
        <v>8</v>
      </c>
      <c r="F162">
        <v>12</v>
      </c>
      <c r="G162">
        <v>8</v>
      </c>
      <c r="H162">
        <v>20.8</v>
      </c>
      <c r="I162">
        <v>16.3</v>
      </c>
      <c r="J162">
        <v>0.27900000000000003</v>
      </c>
      <c r="K162">
        <v>230</v>
      </c>
      <c r="L162">
        <v>71.7</v>
      </c>
      <c r="M162">
        <v>46</v>
      </c>
      <c r="N162">
        <v>28.7</v>
      </c>
      <c r="O162">
        <v>61.4</v>
      </c>
      <c r="P162">
        <v>36.299999999999997</v>
      </c>
      <c r="Q162">
        <v>3.33</v>
      </c>
      <c r="R162">
        <v>1.86</v>
      </c>
    </row>
    <row r="163" spans="1:18" x14ac:dyDescent="0.25">
      <c r="A163" t="str">
        <f t="shared" si="0"/>
        <v>RHS100X60X3</v>
      </c>
      <c r="B163" t="str">
        <f t="shared" si="1"/>
        <v>100X60X3</v>
      </c>
      <c r="C163">
        <v>100</v>
      </c>
      <c r="D163">
        <v>60</v>
      </c>
      <c r="E163">
        <v>3</v>
      </c>
      <c r="F163">
        <v>4.5</v>
      </c>
      <c r="G163">
        <v>3</v>
      </c>
      <c r="H163">
        <v>9.14</v>
      </c>
      <c r="I163">
        <v>7.18</v>
      </c>
      <c r="J163">
        <v>0.312</v>
      </c>
      <c r="K163">
        <v>124</v>
      </c>
      <c r="L163">
        <v>55.7</v>
      </c>
      <c r="M163">
        <v>24.7</v>
      </c>
      <c r="N163">
        <v>18.600000000000001</v>
      </c>
      <c r="O163">
        <v>30.2</v>
      </c>
      <c r="P163">
        <v>21.2</v>
      </c>
      <c r="Q163">
        <v>3.68</v>
      </c>
      <c r="R163">
        <v>2.4700000000000002</v>
      </c>
    </row>
    <row r="164" spans="1:18" x14ac:dyDescent="0.25">
      <c r="A164" t="str">
        <f t="shared" si="0"/>
        <v>RHS100X60X4</v>
      </c>
      <c r="B164" t="str">
        <f t="shared" si="1"/>
        <v>100X60X4</v>
      </c>
      <c r="C164">
        <v>100</v>
      </c>
      <c r="D164">
        <v>60</v>
      </c>
      <c r="E164">
        <v>4</v>
      </c>
      <c r="F164">
        <v>6</v>
      </c>
      <c r="G164">
        <v>4</v>
      </c>
      <c r="H164">
        <v>12</v>
      </c>
      <c r="I164">
        <v>9.41</v>
      </c>
      <c r="J164">
        <v>0.31</v>
      </c>
      <c r="K164">
        <v>158</v>
      </c>
      <c r="L164">
        <v>70.5</v>
      </c>
      <c r="M164">
        <v>31.6</v>
      </c>
      <c r="N164">
        <v>23.5</v>
      </c>
      <c r="O164">
        <v>39.1</v>
      </c>
      <c r="P164">
        <v>27.3</v>
      </c>
      <c r="Q164">
        <v>3.63</v>
      </c>
      <c r="R164">
        <v>2.4300000000000002</v>
      </c>
    </row>
    <row r="165" spans="1:18" x14ac:dyDescent="0.25">
      <c r="A165" t="str">
        <f t="shared" si="0"/>
        <v>RHS100X60X5</v>
      </c>
      <c r="B165" t="str">
        <f t="shared" si="1"/>
        <v>100X60X5</v>
      </c>
      <c r="C165">
        <v>100</v>
      </c>
      <c r="D165">
        <v>60</v>
      </c>
      <c r="E165">
        <v>5</v>
      </c>
      <c r="F165">
        <v>7.5</v>
      </c>
      <c r="G165">
        <v>5</v>
      </c>
      <c r="H165">
        <v>14.7</v>
      </c>
      <c r="I165">
        <v>11.6</v>
      </c>
      <c r="J165">
        <v>0.307</v>
      </c>
      <c r="K165">
        <v>189</v>
      </c>
      <c r="L165">
        <v>83.6</v>
      </c>
      <c r="M165">
        <v>37.799999999999997</v>
      </c>
      <c r="N165">
        <v>27.9</v>
      </c>
      <c r="O165">
        <v>47.4</v>
      </c>
      <c r="P165">
        <v>32.9</v>
      </c>
      <c r="Q165">
        <v>3.58</v>
      </c>
      <c r="R165">
        <v>2.38</v>
      </c>
    </row>
    <row r="166" spans="1:18" x14ac:dyDescent="0.25">
      <c r="A166" t="str">
        <f t="shared" si="0"/>
        <v>RHS100X60X6</v>
      </c>
      <c r="B166" t="str">
        <f t="shared" si="1"/>
        <v>100X60X6</v>
      </c>
      <c r="C166">
        <v>100</v>
      </c>
      <c r="D166">
        <v>60</v>
      </c>
      <c r="E166">
        <v>6</v>
      </c>
      <c r="F166">
        <v>9</v>
      </c>
      <c r="G166">
        <v>6</v>
      </c>
      <c r="H166">
        <v>17.399999999999999</v>
      </c>
      <c r="I166">
        <v>13.6</v>
      </c>
      <c r="J166">
        <v>0.30499999999999999</v>
      </c>
      <c r="K166">
        <v>217</v>
      </c>
      <c r="L166">
        <v>95</v>
      </c>
      <c r="M166">
        <v>43.4</v>
      </c>
      <c r="N166">
        <v>31.7</v>
      </c>
      <c r="O166">
        <v>55.1</v>
      </c>
      <c r="P166">
        <v>38.1</v>
      </c>
      <c r="Q166">
        <v>3.53</v>
      </c>
      <c r="R166">
        <v>2.34</v>
      </c>
    </row>
    <row r="167" spans="1:18" x14ac:dyDescent="0.25">
      <c r="A167" t="str">
        <f t="shared" si="0"/>
        <v>RHS100X60X6.3</v>
      </c>
      <c r="B167" t="str">
        <f t="shared" si="1"/>
        <v>100X60X6.3</v>
      </c>
      <c r="C167">
        <v>100</v>
      </c>
      <c r="D167">
        <v>60</v>
      </c>
      <c r="E167">
        <v>6.3</v>
      </c>
      <c r="F167">
        <v>9.5</v>
      </c>
      <c r="G167">
        <v>6.3</v>
      </c>
      <c r="H167">
        <v>18.100000000000001</v>
      </c>
      <c r="I167">
        <v>14.2</v>
      </c>
      <c r="J167">
        <v>0.30399999999999999</v>
      </c>
      <c r="K167">
        <v>225</v>
      </c>
      <c r="L167">
        <v>98.1</v>
      </c>
      <c r="M167">
        <v>45</v>
      </c>
      <c r="N167">
        <v>32.700000000000003</v>
      </c>
      <c r="O167">
        <v>57.3</v>
      </c>
      <c r="P167">
        <v>39.5</v>
      </c>
      <c r="Q167">
        <v>3.52</v>
      </c>
      <c r="R167">
        <v>2.33</v>
      </c>
    </row>
    <row r="168" spans="1:18" x14ac:dyDescent="0.25">
      <c r="A168" t="str">
        <f t="shared" si="0"/>
        <v>RHS100X60X8</v>
      </c>
      <c r="B168" t="str">
        <f t="shared" si="1"/>
        <v>100X60X8</v>
      </c>
      <c r="C168">
        <v>100</v>
      </c>
      <c r="D168">
        <v>60</v>
      </c>
      <c r="E168">
        <v>8</v>
      </c>
      <c r="F168">
        <v>12</v>
      </c>
      <c r="G168">
        <v>8</v>
      </c>
      <c r="H168">
        <v>22.4</v>
      </c>
      <c r="I168">
        <v>17.5</v>
      </c>
      <c r="J168">
        <v>0.29899999999999999</v>
      </c>
      <c r="K168">
        <v>264</v>
      </c>
      <c r="L168">
        <v>113</v>
      </c>
      <c r="M168">
        <v>52.8</v>
      </c>
      <c r="N168">
        <v>37.799999999999997</v>
      </c>
      <c r="O168">
        <v>68.7</v>
      </c>
      <c r="P168">
        <v>47.1</v>
      </c>
      <c r="Q168">
        <v>3.44</v>
      </c>
      <c r="R168">
        <v>2.25</v>
      </c>
    </row>
    <row r="169" spans="1:18" x14ac:dyDescent="0.25">
      <c r="A169" t="str">
        <f t="shared" si="0"/>
        <v>RHS120X60X4</v>
      </c>
      <c r="B169" t="str">
        <f t="shared" si="1"/>
        <v>120X60X4</v>
      </c>
      <c r="C169">
        <v>120</v>
      </c>
      <c r="D169">
        <v>60</v>
      </c>
      <c r="E169">
        <v>4</v>
      </c>
      <c r="F169">
        <v>6</v>
      </c>
      <c r="G169">
        <v>4</v>
      </c>
      <c r="H169">
        <v>13.6</v>
      </c>
      <c r="I169">
        <v>10.7</v>
      </c>
      <c r="J169">
        <v>0.35</v>
      </c>
      <c r="K169">
        <v>249</v>
      </c>
      <c r="L169">
        <v>83.1</v>
      </c>
      <c r="M169">
        <v>41.5</v>
      </c>
      <c r="N169">
        <v>27.7</v>
      </c>
      <c r="O169">
        <v>51.9</v>
      </c>
      <c r="P169">
        <v>31.7</v>
      </c>
      <c r="Q169">
        <v>4.28</v>
      </c>
      <c r="R169">
        <v>2.4700000000000002</v>
      </c>
    </row>
    <row r="170" spans="1:18" x14ac:dyDescent="0.25">
      <c r="A170" t="str">
        <f t="shared" si="0"/>
        <v>RHS120X60X5</v>
      </c>
      <c r="B170" t="str">
        <f t="shared" si="1"/>
        <v>120X60X5</v>
      </c>
      <c r="C170">
        <v>120</v>
      </c>
      <c r="D170">
        <v>60</v>
      </c>
      <c r="E170">
        <v>5</v>
      </c>
      <c r="F170">
        <v>7.5</v>
      </c>
      <c r="G170">
        <v>5</v>
      </c>
      <c r="H170">
        <v>16.7</v>
      </c>
      <c r="I170">
        <v>13.1</v>
      </c>
      <c r="J170">
        <v>0.34699999999999998</v>
      </c>
      <c r="K170">
        <v>299</v>
      </c>
      <c r="L170">
        <v>98.8</v>
      </c>
      <c r="M170">
        <v>49.9</v>
      </c>
      <c r="N170">
        <v>32.9</v>
      </c>
      <c r="O170">
        <v>63.1</v>
      </c>
      <c r="P170">
        <v>38.4</v>
      </c>
      <c r="Q170">
        <v>4.2300000000000004</v>
      </c>
      <c r="R170">
        <v>2.4300000000000002</v>
      </c>
    </row>
    <row r="171" spans="1:18" x14ac:dyDescent="0.25">
      <c r="A171" t="str">
        <f t="shared" si="0"/>
        <v>RHS120X60X6</v>
      </c>
      <c r="B171" t="str">
        <f t="shared" si="1"/>
        <v>120X60X6</v>
      </c>
      <c r="C171">
        <v>120</v>
      </c>
      <c r="D171">
        <v>60</v>
      </c>
      <c r="E171">
        <v>6</v>
      </c>
      <c r="F171">
        <v>9</v>
      </c>
      <c r="G171">
        <v>6</v>
      </c>
      <c r="H171">
        <v>19.8</v>
      </c>
      <c r="I171">
        <v>15.5</v>
      </c>
      <c r="J171">
        <v>0.34499999999999997</v>
      </c>
      <c r="K171">
        <v>345</v>
      </c>
      <c r="L171">
        <v>113</v>
      </c>
      <c r="M171">
        <v>57.5</v>
      </c>
      <c r="N171">
        <v>37.5</v>
      </c>
      <c r="O171">
        <v>73.599999999999994</v>
      </c>
      <c r="P171">
        <v>44.5</v>
      </c>
      <c r="Q171">
        <v>4.18</v>
      </c>
      <c r="R171">
        <v>2.39</v>
      </c>
    </row>
    <row r="172" spans="1:18" x14ac:dyDescent="0.25">
      <c r="A172" t="str">
        <f t="shared" si="0"/>
        <v>RHS120X60X6.3</v>
      </c>
      <c r="B172" t="str">
        <f t="shared" si="1"/>
        <v>120X60X6.3</v>
      </c>
      <c r="C172">
        <v>120</v>
      </c>
      <c r="D172">
        <v>60</v>
      </c>
      <c r="E172">
        <v>6.3</v>
      </c>
      <c r="F172">
        <v>9.5</v>
      </c>
      <c r="G172">
        <v>6.3</v>
      </c>
      <c r="H172">
        <v>20.7</v>
      </c>
      <c r="I172">
        <v>16.2</v>
      </c>
      <c r="J172">
        <v>0.34399999999999997</v>
      </c>
      <c r="K172">
        <v>358</v>
      </c>
      <c r="L172">
        <v>116</v>
      </c>
      <c r="M172">
        <v>59.7</v>
      </c>
      <c r="N172">
        <v>38.799999999999997</v>
      </c>
      <c r="O172">
        <v>76.7</v>
      </c>
      <c r="P172">
        <v>46.3</v>
      </c>
      <c r="Q172">
        <v>4.16</v>
      </c>
      <c r="R172" t="s">
        <v>8</v>
      </c>
    </row>
    <row r="173" spans="1:18" x14ac:dyDescent="0.25">
      <c r="A173" t="str">
        <f t="shared" si="0"/>
        <v>RHS120X60X8</v>
      </c>
      <c r="B173" t="str">
        <f t="shared" si="1"/>
        <v>120X60X8</v>
      </c>
      <c r="C173">
        <v>120</v>
      </c>
      <c r="D173">
        <v>60</v>
      </c>
      <c r="E173">
        <v>8</v>
      </c>
      <c r="F173">
        <v>12</v>
      </c>
      <c r="G173">
        <v>8</v>
      </c>
      <c r="H173">
        <v>25.6</v>
      </c>
      <c r="I173">
        <v>20.100000000000001</v>
      </c>
      <c r="J173">
        <v>0.33900000000000002</v>
      </c>
      <c r="K173">
        <v>425</v>
      </c>
      <c r="L173">
        <v>135</v>
      </c>
      <c r="M173">
        <v>70.8</v>
      </c>
      <c r="N173">
        <v>45</v>
      </c>
      <c r="O173">
        <v>92.7</v>
      </c>
      <c r="P173">
        <v>55.4</v>
      </c>
      <c r="Q173">
        <v>4.08</v>
      </c>
      <c r="R173">
        <v>2.2999999999999998</v>
      </c>
    </row>
    <row r="174" spans="1:18" x14ac:dyDescent="0.25">
      <c r="A174" t="str">
        <f t="shared" si="0"/>
        <v>RHS120X60X10</v>
      </c>
      <c r="B174" t="str">
        <f t="shared" si="1"/>
        <v>120X60X10</v>
      </c>
      <c r="C174">
        <v>120</v>
      </c>
      <c r="D174">
        <v>60</v>
      </c>
      <c r="E174">
        <v>10</v>
      </c>
      <c r="F174">
        <v>15</v>
      </c>
      <c r="G174">
        <v>10</v>
      </c>
      <c r="H174">
        <v>30.9</v>
      </c>
      <c r="I174">
        <v>24.3</v>
      </c>
      <c r="J174">
        <v>0.33400000000000002</v>
      </c>
      <c r="K174">
        <v>488</v>
      </c>
      <c r="L174">
        <v>152</v>
      </c>
      <c r="M174">
        <v>81.400000000000006</v>
      </c>
      <c r="N174">
        <v>50.5</v>
      </c>
      <c r="O174">
        <v>109</v>
      </c>
      <c r="P174">
        <v>64.400000000000006</v>
      </c>
      <c r="Q174">
        <v>3.97</v>
      </c>
      <c r="R174">
        <v>2.21</v>
      </c>
    </row>
    <row r="175" spans="1:18" x14ac:dyDescent="0.25">
      <c r="A175" t="str">
        <f t="shared" si="0"/>
        <v>RHS120X80X4</v>
      </c>
      <c r="B175" t="str">
        <f t="shared" si="1"/>
        <v>120X80X4</v>
      </c>
      <c r="C175">
        <v>120</v>
      </c>
      <c r="D175">
        <v>80</v>
      </c>
      <c r="E175">
        <v>4</v>
      </c>
      <c r="F175">
        <v>6</v>
      </c>
      <c r="G175">
        <v>4</v>
      </c>
      <c r="H175">
        <v>15.2</v>
      </c>
      <c r="I175">
        <v>11.9</v>
      </c>
      <c r="J175">
        <v>0.39</v>
      </c>
      <c r="K175">
        <v>303</v>
      </c>
      <c r="L175">
        <v>161</v>
      </c>
      <c r="M175">
        <v>50.4</v>
      </c>
      <c r="N175">
        <v>40.200000000000003</v>
      </c>
      <c r="O175">
        <v>61.2</v>
      </c>
      <c r="P175">
        <v>46.1</v>
      </c>
      <c r="Q175">
        <v>4.46</v>
      </c>
      <c r="R175">
        <v>3.25</v>
      </c>
    </row>
    <row r="176" spans="1:18" x14ac:dyDescent="0.25">
      <c r="A176" t="str">
        <f t="shared" si="0"/>
        <v>RHS120X80X5</v>
      </c>
      <c r="B176" t="str">
        <f t="shared" si="1"/>
        <v>120X80X5</v>
      </c>
      <c r="C176">
        <v>120</v>
      </c>
      <c r="D176">
        <v>80</v>
      </c>
      <c r="E176">
        <v>5</v>
      </c>
      <c r="F176">
        <v>7.5</v>
      </c>
      <c r="G176">
        <v>5</v>
      </c>
      <c r="H176">
        <v>18.7</v>
      </c>
      <c r="I176">
        <v>14.7</v>
      </c>
      <c r="J176">
        <v>0.38700000000000001</v>
      </c>
      <c r="K176">
        <v>365</v>
      </c>
      <c r="L176">
        <v>193</v>
      </c>
      <c r="M176">
        <v>60.9</v>
      </c>
      <c r="N176">
        <v>48.2</v>
      </c>
      <c r="O176">
        <v>74.599999999999994</v>
      </c>
      <c r="P176">
        <v>56.1</v>
      </c>
      <c r="Q176">
        <v>4.42</v>
      </c>
      <c r="R176">
        <v>3.21</v>
      </c>
    </row>
    <row r="177" spans="1:18" x14ac:dyDescent="0.25">
      <c r="A177" t="str">
        <f t="shared" si="0"/>
        <v>RHS120X80X6</v>
      </c>
      <c r="B177" t="str">
        <f t="shared" si="1"/>
        <v>120X80X6</v>
      </c>
      <c r="C177">
        <v>120</v>
      </c>
      <c r="D177">
        <v>80</v>
      </c>
      <c r="E177">
        <v>6</v>
      </c>
      <c r="F177">
        <v>9</v>
      </c>
      <c r="G177">
        <v>6</v>
      </c>
      <c r="H177">
        <v>22.2</v>
      </c>
      <c r="I177">
        <v>17.399999999999999</v>
      </c>
      <c r="J177">
        <v>0.38500000000000001</v>
      </c>
      <c r="K177">
        <v>423</v>
      </c>
      <c r="L177">
        <v>222</v>
      </c>
      <c r="M177">
        <v>70.599999999999994</v>
      </c>
      <c r="N177">
        <v>55.6</v>
      </c>
      <c r="O177">
        <v>87.3</v>
      </c>
      <c r="P177">
        <v>65.5</v>
      </c>
      <c r="Q177">
        <v>4.37</v>
      </c>
      <c r="R177">
        <v>3.17</v>
      </c>
    </row>
    <row r="178" spans="1:18" x14ac:dyDescent="0.25">
      <c r="A178" t="str">
        <f t="shared" si="0"/>
        <v>RHS120X80X6.3</v>
      </c>
      <c r="B178" t="str">
        <f t="shared" si="1"/>
        <v>120X80X6.3</v>
      </c>
      <c r="C178">
        <v>120</v>
      </c>
      <c r="D178">
        <v>80</v>
      </c>
      <c r="E178">
        <v>6.3</v>
      </c>
      <c r="F178">
        <v>9.5</v>
      </c>
      <c r="G178">
        <v>6.3</v>
      </c>
      <c r="H178">
        <v>23.2</v>
      </c>
      <c r="I178">
        <v>18.2</v>
      </c>
      <c r="J178">
        <v>0.38400000000000001</v>
      </c>
      <c r="K178">
        <v>440</v>
      </c>
      <c r="L178">
        <v>230</v>
      </c>
      <c r="M178">
        <v>73.3</v>
      </c>
      <c r="N178">
        <v>57.6</v>
      </c>
      <c r="O178">
        <v>91</v>
      </c>
      <c r="P178">
        <v>68.2</v>
      </c>
      <c r="Q178">
        <v>4.3600000000000003</v>
      </c>
      <c r="R178">
        <v>3.15</v>
      </c>
    </row>
    <row r="179" spans="1:18" x14ac:dyDescent="0.25">
      <c r="A179" t="str">
        <f t="shared" si="0"/>
        <v>RHS120X80X8</v>
      </c>
      <c r="B179" t="str">
        <f t="shared" si="1"/>
        <v>120X80X8</v>
      </c>
      <c r="C179">
        <v>120</v>
      </c>
      <c r="D179">
        <v>80</v>
      </c>
      <c r="E179">
        <v>8</v>
      </c>
      <c r="F179">
        <v>12</v>
      </c>
      <c r="G179">
        <v>8</v>
      </c>
      <c r="H179">
        <v>28.8</v>
      </c>
      <c r="I179">
        <v>22.6</v>
      </c>
      <c r="J179">
        <v>0.379</v>
      </c>
      <c r="K179">
        <v>525</v>
      </c>
      <c r="L179">
        <v>273</v>
      </c>
      <c r="M179">
        <v>87.5</v>
      </c>
      <c r="N179">
        <v>68.099999999999994</v>
      </c>
      <c r="O179">
        <v>111</v>
      </c>
      <c r="P179">
        <v>82.6</v>
      </c>
      <c r="Q179">
        <v>4.2699999999999996</v>
      </c>
      <c r="R179">
        <v>3.08</v>
      </c>
    </row>
    <row r="180" spans="1:18" x14ac:dyDescent="0.25">
      <c r="A180" t="str">
        <f t="shared" si="0"/>
        <v>RHS120X80X10</v>
      </c>
      <c r="B180" t="str">
        <f t="shared" si="1"/>
        <v>120X80X10</v>
      </c>
      <c r="C180">
        <v>120</v>
      </c>
      <c r="D180">
        <v>80</v>
      </c>
      <c r="E180">
        <v>10</v>
      </c>
      <c r="F180">
        <v>15</v>
      </c>
      <c r="G180">
        <v>10</v>
      </c>
      <c r="H180">
        <v>34.9</v>
      </c>
      <c r="I180">
        <v>27.4</v>
      </c>
      <c r="J180">
        <v>0.374</v>
      </c>
      <c r="K180">
        <v>609</v>
      </c>
      <c r="L180">
        <v>313</v>
      </c>
      <c r="M180">
        <v>102</v>
      </c>
      <c r="N180">
        <v>78.099999999999994</v>
      </c>
      <c r="O180">
        <v>131</v>
      </c>
      <c r="P180">
        <v>97.3</v>
      </c>
      <c r="Q180">
        <v>4.18</v>
      </c>
      <c r="R180">
        <v>2.99</v>
      </c>
    </row>
    <row r="181" spans="1:18" x14ac:dyDescent="0.25">
      <c r="A181" t="str">
        <f t="shared" si="0"/>
        <v>RHS140X80X4</v>
      </c>
      <c r="B181" t="str">
        <f t="shared" si="1"/>
        <v>140X80X4</v>
      </c>
      <c r="C181">
        <v>140</v>
      </c>
      <c r="D181">
        <v>80</v>
      </c>
      <c r="E181">
        <v>4</v>
      </c>
      <c r="F181">
        <v>6</v>
      </c>
      <c r="G181">
        <v>4</v>
      </c>
      <c r="H181">
        <v>16.8</v>
      </c>
      <c r="I181">
        <v>13.2</v>
      </c>
      <c r="J181">
        <v>0.43</v>
      </c>
      <c r="K181">
        <v>441</v>
      </c>
      <c r="L181">
        <v>184</v>
      </c>
      <c r="M181">
        <v>62.9</v>
      </c>
      <c r="N181">
        <v>46</v>
      </c>
      <c r="O181">
        <v>77.099999999999994</v>
      </c>
      <c r="P181">
        <v>52.2</v>
      </c>
      <c r="Q181">
        <v>5.12</v>
      </c>
      <c r="R181">
        <v>3.31</v>
      </c>
    </row>
    <row r="182" spans="1:18" x14ac:dyDescent="0.25">
      <c r="A182" t="str">
        <f t="shared" si="0"/>
        <v>RHS140X80X5</v>
      </c>
      <c r="B182" t="str">
        <f t="shared" si="1"/>
        <v>140X80X5</v>
      </c>
      <c r="C182">
        <v>140</v>
      </c>
      <c r="D182">
        <v>80</v>
      </c>
      <c r="E182">
        <v>5</v>
      </c>
      <c r="F182">
        <v>7.5</v>
      </c>
      <c r="G182">
        <v>5</v>
      </c>
      <c r="H182">
        <v>20.7</v>
      </c>
      <c r="I182">
        <v>16.3</v>
      </c>
      <c r="J182">
        <v>0.42699999999999999</v>
      </c>
      <c r="K182">
        <v>534</v>
      </c>
      <c r="L182">
        <v>221</v>
      </c>
      <c r="M182">
        <v>76.3</v>
      </c>
      <c r="N182">
        <v>55.3</v>
      </c>
      <c r="O182">
        <v>94.3</v>
      </c>
      <c r="P182">
        <v>63.6</v>
      </c>
      <c r="Q182">
        <v>5.08</v>
      </c>
      <c r="R182">
        <v>3.27</v>
      </c>
    </row>
    <row r="183" spans="1:18" x14ac:dyDescent="0.25">
      <c r="A183" t="str">
        <f t="shared" si="0"/>
        <v>RHS140X80X6</v>
      </c>
      <c r="B183" t="str">
        <f t="shared" si="1"/>
        <v>140X80X6</v>
      </c>
      <c r="C183">
        <v>140</v>
      </c>
      <c r="D183">
        <v>80</v>
      </c>
      <c r="E183">
        <v>6</v>
      </c>
      <c r="F183">
        <v>9</v>
      </c>
      <c r="G183">
        <v>6</v>
      </c>
      <c r="H183">
        <v>24.6</v>
      </c>
      <c r="I183">
        <v>19.3</v>
      </c>
      <c r="J183">
        <v>0.42499999999999999</v>
      </c>
      <c r="K183">
        <v>621</v>
      </c>
      <c r="L183">
        <v>255</v>
      </c>
      <c r="M183">
        <v>88.7</v>
      </c>
      <c r="N183">
        <v>63.8</v>
      </c>
      <c r="O183">
        <v>111</v>
      </c>
      <c r="P183">
        <v>74.400000000000006</v>
      </c>
      <c r="Q183">
        <v>5.03</v>
      </c>
      <c r="R183">
        <v>3.22</v>
      </c>
    </row>
    <row r="184" spans="1:18" x14ac:dyDescent="0.25">
      <c r="A184" t="str">
        <f t="shared" si="0"/>
        <v>RHS140X80X6.3</v>
      </c>
      <c r="B184" t="str">
        <f t="shared" si="1"/>
        <v>140X80X6.3</v>
      </c>
      <c r="C184">
        <v>140</v>
      </c>
      <c r="D184">
        <v>80</v>
      </c>
      <c r="E184">
        <v>6.3</v>
      </c>
      <c r="F184">
        <v>9.5</v>
      </c>
      <c r="G184">
        <v>6.3</v>
      </c>
      <c r="H184">
        <v>25.7</v>
      </c>
      <c r="I184">
        <v>20.2</v>
      </c>
      <c r="J184">
        <v>0.42399999999999999</v>
      </c>
      <c r="K184">
        <v>646</v>
      </c>
      <c r="L184">
        <v>265</v>
      </c>
      <c r="M184">
        <v>92.3</v>
      </c>
      <c r="N184">
        <v>66.2</v>
      </c>
      <c r="O184">
        <v>115</v>
      </c>
      <c r="P184">
        <v>77.5</v>
      </c>
      <c r="Q184">
        <v>5.01</v>
      </c>
      <c r="R184">
        <v>3.21</v>
      </c>
    </row>
    <row r="185" spans="1:18" x14ac:dyDescent="0.25">
      <c r="A185" t="str">
        <f t="shared" si="0"/>
        <v>RHS140X80X8</v>
      </c>
      <c r="B185" t="str">
        <f t="shared" si="1"/>
        <v>140X80X8</v>
      </c>
      <c r="C185">
        <v>140</v>
      </c>
      <c r="D185">
        <v>80</v>
      </c>
      <c r="E185">
        <v>8</v>
      </c>
      <c r="F185">
        <v>12</v>
      </c>
      <c r="G185">
        <v>8</v>
      </c>
      <c r="H185">
        <v>32</v>
      </c>
      <c r="I185">
        <v>25.1</v>
      </c>
      <c r="J185">
        <v>0.41899999999999998</v>
      </c>
      <c r="K185">
        <v>776</v>
      </c>
      <c r="L185">
        <v>314</v>
      </c>
      <c r="M185">
        <v>111</v>
      </c>
      <c r="N185">
        <v>78.5</v>
      </c>
      <c r="O185">
        <v>141</v>
      </c>
      <c r="P185">
        <v>94.1</v>
      </c>
      <c r="Q185">
        <v>4.93</v>
      </c>
      <c r="R185">
        <v>3.14</v>
      </c>
    </row>
    <row r="186" spans="1:18" x14ac:dyDescent="0.25">
      <c r="A186" t="str">
        <f t="shared" si="0"/>
        <v>RHS140X80X10</v>
      </c>
      <c r="B186" t="str">
        <f t="shared" si="1"/>
        <v>140X80X10</v>
      </c>
      <c r="C186">
        <v>140</v>
      </c>
      <c r="D186">
        <v>80</v>
      </c>
      <c r="E186">
        <v>10</v>
      </c>
      <c r="F186">
        <v>15</v>
      </c>
      <c r="G186">
        <v>10</v>
      </c>
      <c r="H186">
        <v>38.9</v>
      </c>
      <c r="I186">
        <v>30.6</v>
      </c>
      <c r="J186">
        <v>0.41399999999999998</v>
      </c>
      <c r="K186">
        <v>908</v>
      </c>
      <c r="L186">
        <v>362</v>
      </c>
      <c r="M186">
        <v>130</v>
      </c>
      <c r="N186">
        <v>90.5</v>
      </c>
      <c r="O186">
        <v>168</v>
      </c>
      <c r="P186">
        <v>111</v>
      </c>
      <c r="Q186">
        <v>4.83</v>
      </c>
      <c r="R186">
        <v>3.05</v>
      </c>
    </row>
    <row r="187" spans="1:18" x14ac:dyDescent="0.25">
      <c r="A187" t="str">
        <f t="shared" si="0"/>
        <v>RHS150X100X4</v>
      </c>
      <c r="B187" t="str">
        <f t="shared" si="1"/>
        <v>150X100X4</v>
      </c>
      <c r="C187">
        <v>150</v>
      </c>
      <c r="D187">
        <v>100</v>
      </c>
      <c r="E187">
        <v>4</v>
      </c>
      <c r="F187">
        <v>6</v>
      </c>
      <c r="G187">
        <v>4</v>
      </c>
      <c r="H187">
        <v>19.2</v>
      </c>
      <c r="I187">
        <v>15.1</v>
      </c>
      <c r="J187">
        <v>0.49</v>
      </c>
      <c r="K187">
        <v>607</v>
      </c>
      <c r="L187">
        <v>324</v>
      </c>
      <c r="M187">
        <v>81</v>
      </c>
      <c r="N187">
        <v>64.8</v>
      </c>
      <c r="O187">
        <v>97.4</v>
      </c>
      <c r="P187">
        <v>73.599999999999994</v>
      </c>
      <c r="Q187">
        <v>5.63</v>
      </c>
      <c r="R187">
        <v>4.1100000000000003</v>
      </c>
    </row>
    <row r="188" spans="1:18" x14ac:dyDescent="0.25">
      <c r="A188" t="str">
        <f t="shared" si="0"/>
        <v>RHS150X100X5</v>
      </c>
      <c r="B188" t="str">
        <f t="shared" si="1"/>
        <v>150X100X5</v>
      </c>
      <c r="C188">
        <v>150</v>
      </c>
      <c r="D188">
        <v>100</v>
      </c>
      <c r="E188">
        <v>5</v>
      </c>
      <c r="F188">
        <v>7.5</v>
      </c>
      <c r="G188">
        <v>5</v>
      </c>
      <c r="H188">
        <v>23.7</v>
      </c>
      <c r="I188">
        <v>18.600000000000001</v>
      </c>
      <c r="J188">
        <v>0.48699999999999999</v>
      </c>
      <c r="K188">
        <v>739</v>
      </c>
      <c r="L188">
        <v>392</v>
      </c>
      <c r="M188">
        <v>98.5</v>
      </c>
      <c r="N188">
        <v>78.5</v>
      </c>
      <c r="O188">
        <v>119</v>
      </c>
      <c r="P188">
        <v>90.1</v>
      </c>
      <c r="Q188">
        <v>5.58</v>
      </c>
      <c r="R188">
        <v>4.07</v>
      </c>
    </row>
    <row r="189" spans="1:18" x14ac:dyDescent="0.25">
      <c r="A189" t="str">
        <f t="shared" si="0"/>
        <v>RHS150X100X6</v>
      </c>
      <c r="B189" t="str">
        <f t="shared" si="1"/>
        <v>150X100X6</v>
      </c>
      <c r="C189">
        <v>150</v>
      </c>
      <c r="D189">
        <v>100</v>
      </c>
      <c r="E189">
        <v>6</v>
      </c>
      <c r="F189">
        <v>9</v>
      </c>
      <c r="G189">
        <v>6</v>
      </c>
      <c r="H189">
        <v>28.2</v>
      </c>
      <c r="I189">
        <v>22.1</v>
      </c>
      <c r="J189">
        <v>0.48499999999999999</v>
      </c>
      <c r="K189">
        <v>862</v>
      </c>
      <c r="L189">
        <v>456</v>
      </c>
      <c r="M189">
        <v>115</v>
      </c>
      <c r="N189">
        <v>91.2</v>
      </c>
      <c r="O189">
        <v>141</v>
      </c>
      <c r="P189">
        <v>106</v>
      </c>
      <c r="Q189">
        <v>5.53</v>
      </c>
      <c r="R189">
        <v>4.0199999999999996</v>
      </c>
    </row>
    <row r="190" spans="1:18" x14ac:dyDescent="0.25">
      <c r="A190" t="str">
        <f t="shared" si="0"/>
        <v>RHS150X100X6.3</v>
      </c>
      <c r="B190" t="str">
        <f t="shared" si="1"/>
        <v>150X100X6.3</v>
      </c>
      <c r="C190">
        <v>150</v>
      </c>
      <c r="D190">
        <v>100</v>
      </c>
      <c r="E190">
        <v>6.3</v>
      </c>
      <c r="F190">
        <v>9.5</v>
      </c>
      <c r="G190">
        <v>6.3</v>
      </c>
      <c r="H190">
        <v>29.5</v>
      </c>
      <c r="I190">
        <v>23.1</v>
      </c>
      <c r="J190">
        <v>0.48399999999999999</v>
      </c>
      <c r="K190">
        <v>898</v>
      </c>
      <c r="L190">
        <v>474</v>
      </c>
      <c r="M190">
        <v>120</v>
      </c>
      <c r="N190">
        <v>94.8</v>
      </c>
      <c r="O190">
        <v>147</v>
      </c>
      <c r="P190">
        <v>110</v>
      </c>
      <c r="Q190">
        <v>5.52</v>
      </c>
      <c r="R190">
        <v>4.01</v>
      </c>
    </row>
    <row r="191" spans="1:18" x14ac:dyDescent="0.25">
      <c r="A191" t="str">
        <f t="shared" si="0"/>
        <v>RHS150X100X8</v>
      </c>
      <c r="B191" t="str">
        <f t="shared" si="1"/>
        <v>150X100X8</v>
      </c>
      <c r="C191">
        <v>150</v>
      </c>
      <c r="D191">
        <v>100</v>
      </c>
      <c r="E191">
        <v>8</v>
      </c>
      <c r="F191">
        <v>12</v>
      </c>
      <c r="G191">
        <v>8</v>
      </c>
      <c r="H191">
        <v>36.799999999999997</v>
      </c>
      <c r="I191">
        <v>28.9</v>
      </c>
      <c r="J191">
        <v>0.47899999999999998</v>
      </c>
      <c r="K191">
        <v>1087</v>
      </c>
      <c r="L191">
        <v>569</v>
      </c>
      <c r="M191">
        <v>145</v>
      </c>
      <c r="N191">
        <v>114</v>
      </c>
      <c r="O191">
        <v>180</v>
      </c>
      <c r="P191">
        <v>135</v>
      </c>
      <c r="Q191">
        <v>5.44</v>
      </c>
      <c r="R191">
        <v>3.94</v>
      </c>
    </row>
    <row r="192" spans="1:18" x14ac:dyDescent="0.25">
      <c r="A192" t="str">
        <f t="shared" si="0"/>
        <v>RHS150X100X10</v>
      </c>
      <c r="B192" t="str">
        <f t="shared" si="1"/>
        <v>150X100X10</v>
      </c>
      <c r="C192">
        <v>150</v>
      </c>
      <c r="D192">
        <v>100</v>
      </c>
      <c r="E192">
        <v>10</v>
      </c>
      <c r="F192">
        <v>15</v>
      </c>
      <c r="G192">
        <v>10</v>
      </c>
      <c r="H192">
        <v>44.9</v>
      </c>
      <c r="I192">
        <v>35.299999999999997</v>
      </c>
      <c r="J192">
        <v>0.47399999999999998</v>
      </c>
      <c r="K192">
        <v>1282</v>
      </c>
      <c r="L192">
        <v>665</v>
      </c>
      <c r="M192">
        <v>171</v>
      </c>
      <c r="N192">
        <v>133</v>
      </c>
      <c r="O192">
        <v>216</v>
      </c>
      <c r="P192">
        <v>161</v>
      </c>
      <c r="Q192">
        <v>5.34</v>
      </c>
      <c r="R192">
        <v>3.85</v>
      </c>
    </row>
    <row r="193" spans="1:18" x14ac:dyDescent="0.25">
      <c r="A193" t="str">
        <f t="shared" si="0"/>
        <v>RHS150X100X12</v>
      </c>
      <c r="B193" t="str">
        <f t="shared" si="1"/>
        <v>150X100X12</v>
      </c>
      <c r="C193">
        <v>150</v>
      </c>
      <c r="D193">
        <v>100</v>
      </c>
      <c r="E193">
        <v>12</v>
      </c>
      <c r="F193">
        <v>18</v>
      </c>
      <c r="G193">
        <v>12</v>
      </c>
      <c r="H193">
        <v>52.7</v>
      </c>
      <c r="I193">
        <v>41.4</v>
      </c>
      <c r="J193">
        <v>0.46899999999999997</v>
      </c>
      <c r="K193">
        <v>1450</v>
      </c>
      <c r="L193">
        <v>745</v>
      </c>
      <c r="M193">
        <v>193</v>
      </c>
      <c r="N193">
        <v>149</v>
      </c>
      <c r="O193">
        <v>249</v>
      </c>
      <c r="P193">
        <v>185</v>
      </c>
      <c r="Q193">
        <v>5.25</v>
      </c>
      <c r="R193">
        <v>3.76</v>
      </c>
    </row>
    <row r="194" spans="1:18" x14ac:dyDescent="0.25">
      <c r="A194" t="str">
        <f t="shared" si="0"/>
        <v>RHS150X100X12.5</v>
      </c>
      <c r="B194" t="str">
        <f t="shared" si="1"/>
        <v>150X100X12.5</v>
      </c>
      <c r="C194">
        <v>150</v>
      </c>
      <c r="D194">
        <v>100</v>
      </c>
      <c r="E194">
        <v>12.5</v>
      </c>
      <c r="F194">
        <v>18.8</v>
      </c>
      <c r="G194">
        <v>12.5</v>
      </c>
      <c r="H194">
        <v>54.6</v>
      </c>
      <c r="I194">
        <v>42.8</v>
      </c>
      <c r="J194">
        <v>0.46800000000000003</v>
      </c>
      <c r="K194">
        <v>1488</v>
      </c>
      <c r="L194">
        <v>763</v>
      </c>
      <c r="M194">
        <v>198</v>
      </c>
      <c r="N194">
        <v>153</v>
      </c>
      <c r="O194">
        <v>256</v>
      </c>
      <c r="P194">
        <v>190</v>
      </c>
      <c r="Q194">
        <v>5.22</v>
      </c>
      <c r="R194">
        <v>3.74</v>
      </c>
    </row>
    <row r="195" spans="1:18" x14ac:dyDescent="0.25">
      <c r="A195" t="str">
        <f t="shared" si="0"/>
        <v>RHS160X80X4</v>
      </c>
      <c r="B195" t="str">
        <f t="shared" si="1"/>
        <v>160X80X4</v>
      </c>
      <c r="C195">
        <v>160</v>
      </c>
      <c r="D195">
        <v>80</v>
      </c>
      <c r="E195">
        <v>4</v>
      </c>
      <c r="F195">
        <v>6</v>
      </c>
      <c r="G195">
        <v>4</v>
      </c>
      <c r="H195">
        <v>18.399999999999999</v>
      </c>
      <c r="I195">
        <v>14.4</v>
      </c>
      <c r="J195">
        <v>0.47</v>
      </c>
      <c r="K195">
        <v>612</v>
      </c>
      <c r="L195">
        <v>207</v>
      </c>
      <c r="M195">
        <v>76.5</v>
      </c>
      <c r="N195">
        <v>51.7</v>
      </c>
      <c r="O195">
        <v>94.7</v>
      </c>
      <c r="P195">
        <v>58.3</v>
      </c>
      <c r="Q195">
        <v>5.77</v>
      </c>
      <c r="R195">
        <v>3.35</v>
      </c>
    </row>
    <row r="196" spans="1:18" x14ac:dyDescent="0.25">
      <c r="A196" t="str">
        <f t="shared" si="0"/>
        <v>RHS160X80X5</v>
      </c>
      <c r="B196" t="str">
        <f t="shared" si="1"/>
        <v>160X80X5</v>
      </c>
      <c r="C196">
        <v>160</v>
      </c>
      <c r="D196">
        <v>80</v>
      </c>
      <c r="E196">
        <v>5</v>
      </c>
      <c r="F196">
        <v>7.5</v>
      </c>
      <c r="G196">
        <v>5</v>
      </c>
      <c r="H196">
        <v>22.7</v>
      </c>
      <c r="I196">
        <v>17.8</v>
      </c>
      <c r="J196">
        <v>0.46700000000000003</v>
      </c>
      <c r="K196">
        <v>744</v>
      </c>
      <c r="L196">
        <v>249</v>
      </c>
      <c r="M196">
        <v>93</v>
      </c>
      <c r="N196">
        <v>62.3</v>
      </c>
      <c r="O196">
        <v>116</v>
      </c>
      <c r="P196">
        <v>71.099999999999994</v>
      </c>
      <c r="Q196">
        <v>5.72</v>
      </c>
      <c r="R196">
        <v>3.31</v>
      </c>
    </row>
    <row r="197" spans="1:18" x14ac:dyDescent="0.25">
      <c r="A197" t="str">
        <f t="shared" si="0"/>
        <v>RHS160X80X6</v>
      </c>
      <c r="B197" t="str">
        <f t="shared" si="1"/>
        <v>160X80X6</v>
      </c>
      <c r="C197">
        <v>160</v>
      </c>
      <c r="D197">
        <v>80</v>
      </c>
      <c r="E197">
        <v>6</v>
      </c>
      <c r="F197">
        <v>9</v>
      </c>
      <c r="G197">
        <v>6</v>
      </c>
      <c r="H197">
        <v>27</v>
      </c>
      <c r="I197">
        <v>21.2</v>
      </c>
      <c r="J197">
        <v>0.46500000000000002</v>
      </c>
      <c r="K197">
        <v>868</v>
      </c>
      <c r="L197">
        <v>288</v>
      </c>
      <c r="M197">
        <v>108</v>
      </c>
      <c r="N197">
        <v>72</v>
      </c>
      <c r="O197">
        <v>136</v>
      </c>
      <c r="P197">
        <v>83.3</v>
      </c>
      <c r="Q197">
        <v>5.67</v>
      </c>
      <c r="R197">
        <v>3.27</v>
      </c>
    </row>
    <row r="198" spans="1:18" x14ac:dyDescent="0.25">
      <c r="A198" t="str">
        <f t="shared" si="0"/>
        <v>RHS160X80X6.3</v>
      </c>
      <c r="B198" t="str">
        <f t="shared" si="1"/>
        <v>160X80X6.3</v>
      </c>
      <c r="C198">
        <v>160</v>
      </c>
      <c r="D198">
        <v>80</v>
      </c>
      <c r="E198">
        <v>6.3</v>
      </c>
      <c r="F198">
        <v>9.5</v>
      </c>
      <c r="G198">
        <v>6.3</v>
      </c>
      <c r="H198">
        <v>28.2</v>
      </c>
      <c r="I198">
        <v>22.2</v>
      </c>
      <c r="J198">
        <v>0.46400000000000002</v>
      </c>
      <c r="K198">
        <v>903</v>
      </c>
      <c r="L198">
        <v>299</v>
      </c>
      <c r="M198">
        <v>113</v>
      </c>
      <c r="N198">
        <v>74.8</v>
      </c>
      <c r="O198">
        <v>142</v>
      </c>
      <c r="P198">
        <v>86.8</v>
      </c>
      <c r="Q198">
        <v>5.66</v>
      </c>
      <c r="R198">
        <v>3.26</v>
      </c>
    </row>
    <row r="199" spans="1:18" x14ac:dyDescent="0.25">
      <c r="A199" t="str">
        <f t="shared" si="0"/>
        <v>RHS160X80X8</v>
      </c>
      <c r="B199" t="str">
        <f t="shared" si="1"/>
        <v>160X80X8</v>
      </c>
      <c r="C199">
        <v>160</v>
      </c>
      <c r="D199">
        <v>80</v>
      </c>
      <c r="E199">
        <v>8</v>
      </c>
      <c r="F199">
        <v>12</v>
      </c>
      <c r="G199">
        <v>8</v>
      </c>
      <c r="H199">
        <v>35.200000000000003</v>
      </c>
      <c r="I199">
        <v>27.6</v>
      </c>
      <c r="J199">
        <v>0.45900000000000002</v>
      </c>
      <c r="K199">
        <v>1091</v>
      </c>
      <c r="L199">
        <v>356</v>
      </c>
      <c r="M199">
        <v>136</v>
      </c>
      <c r="N199">
        <v>89</v>
      </c>
      <c r="O199">
        <v>175</v>
      </c>
      <c r="P199">
        <v>106</v>
      </c>
      <c r="Q199">
        <v>5.57</v>
      </c>
      <c r="R199">
        <v>3.18</v>
      </c>
    </row>
    <row r="200" spans="1:18" x14ac:dyDescent="0.25">
      <c r="A200" t="str">
        <f t="shared" si="0"/>
        <v>RHS160X80X10</v>
      </c>
      <c r="B200" t="str">
        <f t="shared" si="1"/>
        <v>160X80X10</v>
      </c>
      <c r="C200">
        <v>160</v>
      </c>
      <c r="D200">
        <v>80</v>
      </c>
      <c r="E200">
        <v>10</v>
      </c>
      <c r="F200">
        <v>15</v>
      </c>
      <c r="G200">
        <v>10</v>
      </c>
      <c r="H200">
        <v>42.9</v>
      </c>
      <c r="I200">
        <v>33.700000000000003</v>
      </c>
      <c r="J200">
        <v>0.45400000000000001</v>
      </c>
      <c r="K200">
        <v>1284</v>
      </c>
      <c r="L200">
        <v>411</v>
      </c>
      <c r="M200">
        <v>161</v>
      </c>
      <c r="N200">
        <v>103</v>
      </c>
      <c r="O200">
        <v>209</v>
      </c>
      <c r="P200">
        <v>125</v>
      </c>
      <c r="Q200">
        <v>5.47</v>
      </c>
      <c r="R200">
        <v>3.1</v>
      </c>
    </row>
    <row r="201" spans="1:18" x14ac:dyDescent="0.25">
      <c r="A201" t="str">
        <f t="shared" si="0"/>
        <v>RHS160X80X12</v>
      </c>
      <c r="B201" t="str">
        <f t="shared" si="1"/>
        <v>160X80X12</v>
      </c>
      <c r="C201">
        <v>160</v>
      </c>
      <c r="D201">
        <v>80</v>
      </c>
      <c r="E201">
        <v>12</v>
      </c>
      <c r="F201">
        <v>18</v>
      </c>
      <c r="G201">
        <v>12</v>
      </c>
      <c r="H201">
        <v>50.3</v>
      </c>
      <c r="I201">
        <v>39.5</v>
      </c>
      <c r="J201">
        <v>0.44900000000000001</v>
      </c>
      <c r="K201">
        <v>1449</v>
      </c>
      <c r="L201">
        <v>455</v>
      </c>
      <c r="M201">
        <v>181</v>
      </c>
      <c r="N201">
        <v>114</v>
      </c>
      <c r="O201">
        <v>240</v>
      </c>
      <c r="P201">
        <v>142</v>
      </c>
      <c r="Q201">
        <v>5.37</v>
      </c>
      <c r="R201">
        <v>3.01</v>
      </c>
    </row>
    <row r="202" spans="1:18" x14ac:dyDescent="0.25">
      <c r="A202" t="str">
        <f t="shared" si="0"/>
        <v>RHS160X80X12.5</v>
      </c>
      <c r="B202" t="str">
        <f t="shared" si="1"/>
        <v>160X80X12.5</v>
      </c>
      <c r="C202">
        <v>160</v>
      </c>
      <c r="D202">
        <v>80</v>
      </c>
      <c r="E202">
        <v>12.5</v>
      </c>
      <c r="F202">
        <v>18.8</v>
      </c>
      <c r="G202">
        <v>12.5</v>
      </c>
      <c r="H202">
        <v>52.1</v>
      </c>
      <c r="I202">
        <v>40.9</v>
      </c>
      <c r="J202">
        <v>0.44800000000000001</v>
      </c>
      <c r="K202">
        <v>1485</v>
      </c>
      <c r="L202">
        <v>465</v>
      </c>
      <c r="M202">
        <v>186</v>
      </c>
      <c r="N202">
        <v>116</v>
      </c>
      <c r="O202">
        <v>247</v>
      </c>
      <c r="P202">
        <v>146</v>
      </c>
      <c r="Q202">
        <v>5.34</v>
      </c>
      <c r="R202">
        <v>2.99</v>
      </c>
    </row>
    <row r="203" spans="1:18" x14ac:dyDescent="0.25">
      <c r="A203" t="str">
        <f t="shared" si="0"/>
        <v>RHS180X100X4</v>
      </c>
      <c r="B203" t="str">
        <f t="shared" si="1"/>
        <v>180X100X4</v>
      </c>
      <c r="C203">
        <v>180</v>
      </c>
      <c r="D203">
        <v>100</v>
      </c>
      <c r="E203">
        <v>4</v>
      </c>
      <c r="F203">
        <v>6</v>
      </c>
      <c r="G203">
        <v>4</v>
      </c>
      <c r="H203">
        <v>21.6</v>
      </c>
      <c r="I203">
        <v>16.899999999999999</v>
      </c>
      <c r="J203">
        <v>0.55000000000000004</v>
      </c>
      <c r="K203">
        <v>945</v>
      </c>
      <c r="L203">
        <v>379</v>
      </c>
      <c r="M203">
        <v>105</v>
      </c>
      <c r="N203">
        <v>75.900000000000006</v>
      </c>
      <c r="O203">
        <v>128</v>
      </c>
      <c r="P203">
        <v>85.2</v>
      </c>
      <c r="Q203">
        <v>6.61</v>
      </c>
      <c r="R203">
        <v>4.1900000000000004</v>
      </c>
    </row>
    <row r="204" spans="1:18" x14ac:dyDescent="0.25">
      <c r="A204" t="str">
        <f t="shared" si="0"/>
        <v>RHS180X100X5</v>
      </c>
      <c r="B204" t="str">
        <f t="shared" si="1"/>
        <v>180X100X5</v>
      </c>
      <c r="C204">
        <v>180</v>
      </c>
      <c r="D204">
        <v>100</v>
      </c>
      <c r="E204">
        <v>5</v>
      </c>
      <c r="F204">
        <v>7.5</v>
      </c>
      <c r="G204">
        <v>5</v>
      </c>
      <c r="H204">
        <v>26.7</v>
      </c>
      <c r="I204">
        <v>21</v>
      </c>
      <c r="J204">
        <v>0.54700000000000004</v>
      </c>
      <c r="K204">
        <v>1153</v>
      </c>
      <c r="L204">
        <v>460</v>
      </c>
      <c r="M204">
        <v>128</v>
      </c>
      <c r="N204">
        <v>92</v>
      </c>
      <c r="O204">
        <v>157</v>
      </c>
      <c r="P204">
        <v>104</v>
      </c>
      <c r="Q204">
        <v>6.57</v>
      </c>
      <c r="R204">
        <v>4.1500000000000004</v>
      </c>
    </row>
    <row r="205" spans="1:18" x14ac:dyDescent="0.25">
      <c r="A205" t="str">
        <f t="shared" si="0"/>
        <v>RHS180X100X6</v>
      </c>
      <c r="B205" t="str">
        <f t="shared" si="1"/>
        <v>180X100X6</v>
      </c>
      <c r="C205">
        <v>180</v>
      </c>
      <c r="D205">
        <v>100</v>
      </c>
      <c r="E205">
        <v>6</v>
      </c>
      <c r="F205">
        <v>9</v>
      </c>
      <c r="G205">
        <v>6</v>
      </c>
      <c r="H205">
        <v>31.8</v>
      </c>
      <c r="I205">
        <v>24.9</v>
      </c>
      <c r="J205">
        <v>0.54500000000000004</v>
      </c>
      <c r="K205">
        <v>1350</v>
      </c>
      <c r="L205">
        <v>536</v>
      </c>
      <c r="M205">
        <v>150</v>
      </c>
      <c r="N205">
        <v>107</v>
      </c>
      <c r="O205">
        <v>186</v>
      </c>
      <c r="P205">
        <v>123</v>
      </c>
      <c r="Q205">
        <v>6.52</v>
      </c>
      <c r="R205">
        <v>4.1100000000000003</v>
      </c>
    </row>
    <row r="206" spans="1:18" x14ac:dyDescent="0.25">
      <c r="A206" t="str">
        <f t="shared" si="0"/>
        <v>RHS180X100X6.3</v>
      </c>
      <c r="B206" t="str">
        <f t="shared" si="1"/>
        <v>180X100X6.3</v>
      </c>
      <c r="C206">
        <v>180</v>
      </c>
      <c r="D206">
        <v>100</v>
      </c>
      <c r="E206">
        <v>6.3</v>
      </c>
      <c r="F206">
        <v>9.5</v>
      </c>
      <c r="G206">
        <v>6.3</v>
      </c>
      <c r="H206">
        <v>33.299999999999997</v>
      </c>
      <c r="I206">
        <v>26.1</v>
      </c>
      <c r="J206">
        <v>0.54400000000000004</v>
      </c>
      <c r="K206">
        <v>1407</v>
      </c>
      <c r="L206">
        <v>557</v>
      </c>
      <c r="M206">
        <v>156</v>
      </c>
      <c r="N206">
        <v>111</v>
      </c>
      <c r="O206">
        <v>194</v>
      </c>
      <c r="P206">
        <v>128</v>
      </c>
      <c r="Q206">
        <v>6.5</v>
      </c>
      <c r="R206">
        <v>4.09</v>
      </c>
    </row>
    <row r="207" spans="1:18" x14ac:dyDescent="0.25">
      <c r="A207" t="str">
        <f t="shared" si="0"/>
        <v>RHS180X100X8</v>
      </c>
      <c r="B207" t="str">
        <f t="shared" si="1"/>
        <v>180X100X8</v>
      </c>
      <c r="C207">
        <v>180</v>
      </c>
      <c r="D207">
        <v>100</v>
      </c>
      <c r="E207">
        <v>8</v>
      </c>
      <c r="F207">
        <v>12</v>
      </c>
      <c r="G207">
        <v>8</v>
      </c>
      <c r="H207">
        <v>41.6</v>
      </c>
      <c r="I207">
        <v>32.6</v>
      </c>
      <c r="J207">
        <v>0.53900000000000003</v>
      </c>
      <c r="K207">
        <v>1713</v>
      </c>
      <c r="L207">
        <v>671</v>
      </c>
      <c r="M207">
        <v>190</v>
      </c>
      <c r="N207">
        <v>134</v>
      </c>
      <c r="O207">
        <v>239</v>
      </c>
      <c r="P207">
        <v>157</v>
      </c>
      <c r="Q207">
        <v>6.42</v>
      </c>
      <c r="R207">
        <v>4.0199999999999996</v>
      </c>
    </row>
    <row r="208" spans="1:18" x14ac:dyDescent="0.25">
      <c r="A208" t="str">
        <f t="shared" si="0"/>
        <v>RHS180X100X10</v>
      </c>
      <c r="B208" t="str">
        <f t="shared" si="1"/>
        <v>180X100X10</v>
      </c>
      <c r="C208">
        <v>180</v>
      </c>
      <c r="D208">
        <v>100</v>
      </c>
      <c r="E208">
        <v>10</v>
      </c>
      <c r="F208">
        <v>15</v>
      </c>
      <c r="G208">
        <v>10</v>
      </c>
      <c r="H208">
        <v>50.9</v>
      </c>
      <c r="I208">
        <v>40</v>
      </c>
      <c r="J208">
        <v>0.53400000000000003</v>
      </c>
      <c r="K208">
        <v>2036</v>
      </c>
      <c r="L208">
        <v>787</v>
      </c>
      <c r="M208">
        <v>226</v>
      </c>
      <c r="N208">
        <v>157</v>
      </c>
      <c r="O208">
        <v>288</v>
      </c>
      <c r="P208">
        <v>188</v>
      </c>
      <c r="Q208">
        <v>6.32</v>
      </c>
      <c r="R208">
        <v>3.93</v>
      </c>
    </row>
    <row r="209" spans="1:18" x14ac:dyDescent="0.25">
      <c r="A209" t="str">
        <f t="shared" si="0"/>
        <v>RHS180X100X12</v>
      </c>
      <c r="B209" t="str">
        <f t="shared" si="1"/>
        <v>180X100X12</v>
      </c>
      <c r="C209">
        <v>180</v>
      </c>
      <c r="D209">
        <v>100</v>
      </c>
      <c r="E209">
        <v>12</v>
      </c>
      <c r="F209">
        <v>18</v>
      </c>
      <c r="G209">
        <v>12</v>
      </c>
      <c r="H209">
        <v>59.9</v>
      </c>
      <c r="I209">
        <v>47</v>
      </c>
      <c r="J209">
        <v>0.52900000000000003</v>
      </c>
      <c r="K209">
        <v>2320</v>
      </c>
      <c r="L209">
        <v>886</v>
      </c>
      <c r="M209">
        <v>258</v>
      </c>
      <c r="N209">
        <v>177</v>
      </c>
      <c r="O209">
        <v>333</v>
      </c>
      <c r="P209">
        <v>216</v>
      </c>
      <c r="Q209">
        <v>6.22</v>
      </c>
      <c r="R209">
        <v>3.85</v>
      </c>
    </row>
    <row r="210" spans="1:18" x14ac:dyDescent="0.25">
      <c r="A210" t="str">
        <f t="shared" si="0"/>
        <v>RHS180X100X12.5</v>
      </c>
      <c r="B210" t="str">
        <f t="shared" si="1"/>
        <v>180X100X12.5</v>
      </c>
      <c r="C210">
        <v>180</v>
      </c>
      <c r="D210">
        <v>100</v>
      </c>
      <c r="E210">
        <v>12.5</v>
      </c>
      <c r="F210">
        <v>18.8</v>
      </c>
      <c r="G210">
        <v>12.5</v>
      </c>
      <c r="H210">
        <v>62.1</v>
      </c>
      <c r="I210">
        <v>48.7</v>
      </c>
      <c r="J210">
        <v>0.52800000000000002</v>
      </c>
      <c r="K210">
        <v>2385</v>
      </c>
      <c r="L210">
        <v>908</v>
      </c>
      <c r="M210">
        <v>265</v>
      </c>
      <c r="N210">
        <v>182</v>
      </c>
      <c r="O210">
        <v>344</v>
      </c>
      <c r="P210">
        <v>223</v>
      </c>
      <c r="Q210">
        <v>6.2</v>
      </c>
      <c r="R210">
        <v>3.82</v>
      </c>
    </row>
    <row r="211" spans="1:18" x14ac:dyDescent="0.25">
      <c r="A211" t="str">
        <f t="shared" si="0"/>
        <v>RHS200X100X4</v>
      </c>
      <c r="B211" t="str">
        <f t="shared" si="1"/>
        <v>200X100X4</v>
      </c>
      <c r="C211">
        <v>200</v>
      </c>
      <c r="D211">
        <v>100</v>
      </c>
      <c r="E211">
        <v>4</v>
      </c>
      <c r="F211">
        <v>6</v>
      </c>
      <c r="G211">
        <v>4</v>
      </c>
      <c r="H211">
        <v>23.2</v>
      </c>
      <c r="I211">
        <v>18.2</v>
      </c>
      <c r="J211">
        <v>0.59</v>
      </c>
      <c r="K211">
        <v>1223</v>
      </c>
      <c r="L211">
        <v>416</v>
      </c>
      <c r="M211">
        <v>122</v>
      </c>
      <c r="N211">
        <v>83.2</v>
      </c>
      <c r="O211">
        <v>150</v>
      </c>
      <c r="P211">
        <v>92.8</v>
      </c>
      <c r="Q211">
        <v>7.26</v>
      </c>
      <c r="R211">
        <v>4.24</v>
      </c>
    </row>
    <row r="212" spans="1:18" x14ac:dyDescent="0.25">
      <c r="A212" t="str">
        <f t="shared" si="0"/>
        <v>RHS200X100X5</v>
      </c>
      <c r="B212" t="str">
        <f t="shared" si="1"/>
        <v>200X100X5</v>
      </c>
      <c r="C212">
        <v>200</v>
      </c>
      <c r="D212">
        <v>100</v>
      </c>
      <c r="E212">
        <v>5</v>
      </c>
      <c r="F212">
        <v>7.5</v>
      </c>
      <c r="G212">
        <v>5</v>
      </c>
      <c r="H212">
        <v>28.7</v>
      </c>
      <c r="I212">
        <v>22.6</v>
      </c>
      <c r="J212">
        <v>0.58699999999999997</v>
      </c>
      <c r="K212">
        <v>1495</v>
      </c>
      <c r="L212">
        <v>505</v>
      </c>
      <c r="M212">
        <v>149</v>
      </c>
      <c r="N212">
        <v>101</v>
      </c>
      <c r="O212">
        <v>185</v>
      </c>
      <c r="P212">
        <v>114</v>
      </c>
      <c r="Q212">
        <v>7.21</v>
      </c>
      <c r="R212">
        <v>4.1900000000000004</v>
      </c>
    </row>
    <row r="213" spans="1:18" x14ac:dyDescent="0.25">
      <c r="A213" t="str">
        <f t="shared" si="0"/>
        <v>RHS200X100X6</v>
      </c>
      <c r="B213" t="str">
        <f t="shared" si="1"/>
        <v>200X100X6</v>
      </c>
      <c r="C213">
        <v>200</v>
      </c>
      <c r="D213">
        <v>100</v>
      </c>
      <c r="E213">
        <v>6</v>
      </c>
      <c r="F213">
        <v>9</v>
      </c>
      <c r="G213">
        <v>6</v>
      </c>
      <c r="H213">
        <v>34.200000000000003</v>
      </c>
      <c r="I213">
        <v>26.8</v>
      </c>
      <c r="J213">
        <v>0.58499999999999996</v>
      </c>
      <c r="K213">
        <v>1754</v>
      </c>
      <c r="L213">
        <v>589</v>
      </c>
      <c r="M213">
        <v>175</v>
      </c>
      <c r="N213">
        <v>118</v>
      </c>
      <c r="O213">
        <v>218</v>
      </c>
      <c r="P213">
        <v>134</v>
      </c>
      <c r="Q213">
        <v>7.16</v>
      </c>
      <c r="R213">
        <v>4.1500000000000004</v>
      </c>
    </row>
    <row r="214" spans="1:18" x14ac:dyDescent="0.25">
      <c r="A214" t="str">
        <f t="shared" si="0"/>
        <v>RHS200X100X6.3</v>
      </c>
      <c r="B214" t="str">
        <f t="shared" si="1"/>
        <v>200X100X6.3</v>
      </c>
      <c r="C214">
        <v>200</v>
      </c>
      <c r="D214">
        <v>100</v>
      </c>
      <c r="E214">
        <v>6.3</v>
      </c>
      <c r="F214">
        <v>9.5</v>
      </c>
      <c r="G214">
        <v>6.3</v>
      </c>
      <c r="H214">
        <v>35.799999999999997</v>
      </c>
      <c r="I214">
        <v>28.1</v>
      </c>
      <c r="J214">
        <v>0.58399999999999996</v>
      </c>
      <c r="K214">
        <v>1829</v>
      </c>
      <c r="L214">
        <v>613</v>
      </c>
      <c r="M214">
        <v>183</v>
      </c>
      <c r="N214">
        <v>123</v>
      </c>
      <c r="O214">
        <v>228</v>
      </c>
      <c r="P214">
        <v>140</v>
      </c>
      <c r="Q214">
        <v>7.15</v>
      </c>
      <c r="R214">
        <v>4.1399999999999997</v>
      </c>
    </row>
    <row r="215" spans="1:18" x14ac:dyDescent="0.25">
      <c r="A215" t="str">
        <f t="shared" si="0"/>
        <v>RHS200X100X8</v>
      </c>
      <c r="B215" t="str">
        <f t="shared" si="1"/>
        <v>200X100X8</v>
      </c>
      <c r="C215">
        <v>200</v>
      </c>
      <c r="D215">
        <v>100</v>
      </c>
      <c r="E215">
        <v>8</v>
      </c>
      <c r="F215">
        <v>12</v>
      </c>
      <c r="G215">
        <v>8</v>
      </c>
      <c r="H215">
        <v>44.8</v>
      </c>
      <c r="I215">
        <v>35.1</v>
      </c>
      <c r="J215">
        <v>0.57899999999999996</v>
      </c>
      <c r="K215">
        <v>2234</v>
      </c>
      <c r="L215">
        <v>739</v>
      </c>
      <c r="M215">
        <v>223</v>
      </c>
      <c r="N215">
        <v>148</v>
      </c>
      <c r="O215">
        <v>282</v>
      </c>
      <c r="P215">
        <v>172</v>
      </c>
      <c r="Q215">
        <v>7.06</v>
      </c>
      <c r="R215">
        <v>4.0599999999999996</v>
      </c>
    </row>
    <row r="216" spans="1:18" x14ac:dyDescent="0.25">
      <c r="A216" t="str">
        <f t="shared" si="0"/>
        <v>RHS200X100X10</v>
      </c>
      <c r="B216" t="str">
        <f t="shared" si="1"/>
        <v>200X100X10</v>
      </c>
      <c r="C216">
        <v>200</v>
      </c>
      <c r="D216">
        <v>100</v>
      </c>
      <c r="E216">
        <v>10</v>
      </c>
      <c r="F216">
        <v>15</v>
      </c>
      <c r="G216">
        <v>10</v>
      </c>
      <c r="H216">
        <v>54.9</v>
      </c>
      <c r="I216">
        <v>43.1</v>
      </c>
      <c r="J216">
        <v>0.57399999999999995</v>
      </c>
      <c r="K216">
        <v>2664</v>
      </c>
      <c r="L216">
        <v>869</v>
      </c>
      <c r="M216">
        <v>266</v>
      </c>
      <c r="N216">
        <v>174</v>
      </c>
      <c r="O216">
        <v>341</v>
      </c>
      <c r="P216">
        <v>206</v>
      </c>
      <c r="Q216">
        <v>6.96</v>
      </c>
      <c r="R216">
        <v>3.98</v>
      </c>
    </row>
    <row r="217" spans="1:18" x14ac:dyDescent="0.25">
      <c r="A217" t="str">
        <f t="shared" si="0"/>
        <v>RHS200X100X12</v>
      </c>
      <c r="B217" t="str">
        <f t="shared" si="1"/>
        <v>200X100X12</v>
      </c>
      <c r="C217">
        <v>200</v>
      </c>
      <c r="D217">
        <v>100</v>
      </c>
      <c r="E217">
        <v>12</v>
      </c>
      <c r="F217">
        <v>18</v>
      </c>
      <c r="G217">
        <v>12</v>
      </c>
      <c r="H217">
        <v>64.7</v>
      </c>
      <c r="I217">
        <v>50.8</v>
      </c>
      <c r="J217">
        <v>0.56899999999999995</v>
      </c>
      <c r="K217">
        <v>3047</v>
      </c>
      <c r="L217">
        <v>979</v>
      </c>
      <c r="M217">
        <v>305</v>
      </c>
      <c r="N217">
        <v>196</v>
      </c>
      <c r="O217">
        <v>395</v>
      </c>
      <c r="P217">
        <v>237</v>
      </c>
      <c r="Q217">
        <v>6.86</v>
      </c>
      <c r="R217">
        <v>3.89</v>
      </c>
    </row>
    <row r="218" spans="1:18" x14ac:dyDescent="0.25">
      <c r="A218" t="str">
        <f t="shared" si="0"/>
        <v>RHS200X100X12.5</v>
      </c>
      <c r="B218" t="str">
        <f t="shared" si="1"/>
        <v>200X100X12.5</v>
      </c>
      <c r="C218">
        <v>200</v>
      </c>
      <c r="D218">
        <v>100</v>
      </c>
      <c r="E218">
        <v>12.5</v>
      </c>
      <c r="F218">
        <v>18.8</v>
      </c>
      <c r="G218">
        <v>12.5</v>
      </c>
      <c r="H218">
        <v>67.099999999999994</v>
      </c>
      <c r="I218">
        <v>52.7</v>
      </c>
      <c r="J218">
        <v>0.56799999999999995</v>
      </c>
      <c r="K218">
        <v>3136</v>
      </c>
      <c r="L218">
        <v>1004</v>
      </c>
      <c r="M218">
        <v>314</v>
      </c>
      <c r="N218">
        <v>201</v>
      </c>
      <c r="O218">
        <v>408</v>
      </c>
      <c r="P218">
        <v>245</v>
      </c>
      <c r="Q218">
        <v>6.84</v>
      </c>
      <c r="R218">
        <v>3.87</v>
      </c>
    </row>
    <row r="219" spans="1:18" x14ac:dyDescent="0.25">
      <c r="A219" t="str">
        <f t="shared" si="0"/>
        <v>RHS200X100X16</v>
      </c>
      <c r="B219" t="str">
        <f t="shared" si="1"/>
        <v>200X100X16</v>
      </c>
      <c r="C219">
        <v>200</v>
      </c>
      <c r="D219">
        <v>100</v>
      </c>
      <c r="E219">
        <v>16</v>
      </c>
      <c r="F219">
        <v>24</v>
      </c>
      <c r="G219">
        <v>16</v>
      </c>
      <c r="H219">
        <v>83</v>
      </c>
      <c r="I219">
        <v>65.2</v>
      </c>
      <c r="J219">
        <v>0.55900000000000005</v>
      </c>
      <c r="K219">
        <v>3678</v>
      </c>
      <c r="L219">
        <v>1147</v>
      </c>
      <c r="M219">
        <v>368</v>
      </c>
      <c r="N219">
        <v>229</v>
      </c>
      <c r="O219">
        <v>491</v>
      </c>
      <c r="P219">
        <v>290</v>
      </c>
      <c r="Q219">
        <v>6.66</v>
      </c>
      <c r="R219">
        <v>3.72</v>
      </c>
    </row>
    <row r="220" spans="1:18" x14ac:dyDescent="0.25">
      <c r="A220" t="str">
        <f t="shared" si="0"/>
        <v>RHS200X120X6</v>
      </c>
      <c r="B220" t="str">
        <f t="shared" si="1"/>
        <v>200X120X6</v>
      </c>
      <c r="C220">
        <v>200</v>
      </c>
      <c r="D220">
        <v>120</v>
      </c>
      <c r="E220">
        <v>6</v>
      </c>
      <c r="F220">
        <v>9</v>
      </c>
      <c r="G220">
        <v>6</v>
      </c>
      <c r="H220">
        <v>36.6</v>
      </c>
      <c r="I220">
        <v>28.7</v>
      </c>
      <c r="J220">
        <v>0.625</v>
      </c>
      <c r="K220">
        <v>1980</v>
      </c>
      <c r="L220">
        <v>892</v>
      </c>
      <c r="M220">
        <v>198</v>
      </c>
      <c r="N220">
        <v>149</v>
      </c>
      <c r="O220">
        <v>242</v>
      </c>
      <c r="P220">
        <v>169</v>
      </c>
      <c r="Q220">
        <v>7.36</v>
      </c>
      <c r="R220">
        <v>4.9400000000000004</v>
      </c>
    </row>
    <row r="221" spans="1:18" x14ac:dyDescent="0.25">
      <c r="A221" t="str">
        <f t="shared" si="0"/>
        <v>RHS200X120X6.3</v>
      </c>
      <c r="B221" t="str">
        <f t="shared" si="1"/>
        <v>200X120X6.3</v>
      </c>
      <c r="C221">
        <v>200</v>
      </c>
      <c r="D221">
        <v>120</v>
      </c>
      <c r="E221">
        <v>6.3</v>
      </c>
      <c r="F221">
        <v>9.5</v>
      </c>
      <c r="G221">
        <v>6.3</v>
      </c>
      <c r="H221">
        <v>38.299999999999997</v>
      </c>
      <c r="I221">
        <v>30.1</v>
      </c>
      <c r="J221">
        <v>0.624</v>
      </c>
      <c r="K221">
        <v>2065</v>
      </c>
      <c r="L221">
        <v>929</v>
      </c>
      <c r="M221">
        <v>207</v>
      </c>
      <c r="N221">
        <v>155</v>
      </c>
      <c r="O221">
        <v>253</v>
      </c>
      <c r="P221">
        <v>177</v>
      </c>
      <c r="Q221">
        <v>7.34</v>
      </c>
      <c r="R221">
        <v>4.92</v>
      </c>
    </row>
    <row r="222" spans="1:18" x14ac:dyDescent="0.25">
      <c r="A222" t="str">
        <f t="shared" si="0"/>
        <v>RHS200X120X8</v>
      </c>
      <c r="B222" t="str">
        <f t="shared" si="1"/>
        <v>200X120X8</v>
      </c>
      <c r="C222">
        <v>200</v>
      </c>
      <c r="D222">
        <v>120</v>
      </c>
      <c r="E222">
        <v>8</v>
      </c>
      <c r="F222">
        <v>12</v>
      </c>
      <c r="G222">
        <v>8</v>
      </c>
      <c r="H222">
        <v>48</v>
      </c>
      <c r="I222">
        <v>37.6</v>
      </c>
      <c r="J222">
        <v>0.61899999999999999</v>
      </c>
      <c r="K222">
        <v>2529</v>
      </c>
      <c r="L222">
        <v>1128</v>
      </c>
      <c r="M222">
        <v>253</v>
      </c>
      <c r="N222">
        <v>188</v>
      </c>
      <c r="O222">
        <v>313</v>
      </c>
      <c r="P222">
        <v>218</v>
      </c>
      <c r="Q222">
        <v>7.26</v>
      </c>
      <c r="R222">
        <v>4.8499999999999996</v>
      </c>
    </row>
    <row r="223" spans="1:18" x14ac:dyDescent="0.25">
      <c r="A223" t="str">
        <f t="shared" si="0"/>
        <v>RHS200X120X10</v>
      </c>
      <c r="B223" t="str">
        <f t="shared" si="1"/>
        <v>200X120X10</v>
      </c>
      <c r="C223">
        <v>200</v>
      </c>
      <c r="D223">
        <v>120</v>
      </c>
      <c r="E223">
        <v>10</v>
      </c>
      <c r="F223">
        <v>15</v>
      </c>
      <c r="G223">
        <v>10</v>
      </c>
      <c r="H223">
        <v>58.9</v>
      </c>
      <c r="I223">
        <v>46.3</v>
      </c>
      <c r="J223">
        <v>0.61399999999999999</v>
      </c>
      <c r="K223">
        <v>3026</v>
      </c>
      <c r="L223">
        <v>1337</v>
      </c>
      <c r="M223">
        <v>303</v>
      </c>
      <c r="N223">
        <v>223</v>
      </c>
      <c r="O223">
        <v>379</v>
      </c>
      <c r="P223">
        <v>263</v>
      </c>
      <c r="Q223">
        <v>7.17</v>
      </c>
      <c r="R223">
        <v>4.76</v>
      </c>
    </row>
    <row r="224" spans="1:18" x14ac:dyDescent="0.25">
      <c r="A224" t="str">
        <f t="shared" si="0"/>
        <v>RHS200X120X12</v>
      </c>
      <c r="B224" t="str">
        <f t="shared" si="1"/>
        <v>200X120X12</v>
      </c>
      <c r="C224">
        <v>200</v>
      </c>
      <c r="D224">
        <v>120</v>
      </c>
      <c r="E224">
        <v>12</v>
      </c>
      <c r="F224">
        <v>18</v>
      </c>
      <c r="G224">
        <v>12</v>
      </c>
      <c r="H224">
        <v>69.5</v>
      </c>
      <c r="I224">
        <v>54.6</v>
      </c>
      <c r="J224">
        <v>0.60899999999999999</v>
      </c>
      <c r="K224">
        <v>3472</v>
      </c>
      <c r="L224">
        <v>1520</v>
      </c>
      <c r="M224">
        <v>347</v>
      </c>
      <c r="N224">
        <v>253</v>
      </c>
      <c r="O224">
        <v>440</v>
      </c>
      <c r="P224">
        <v>305</v>
      </c>
      <c r="Q224">
        <v>7.07</v>
      </c>
      <c r="R224">
        <v>4.68</v>
      </c>
    </row>
    <row r="225" spans="1:18" x14ac:dyDescent="0.25">
      <c r="A225" t="str">
        <f t="shared" si="0"/>
        <v>RHS200X120X12.5</v>
      </c>
      <c r="B225" t="str">
        <f t="shared" si="1"/>
        <v>200X120X12.5</v>
      </c>
      <c r="C225">
        <v>200</v>
      </c>
      <c r="D225">
        <v>120</v>
      </c>
      <c r="E225">
        <v>12.5</v>
      </c>
      <c r="F225">
        <v>18.8</v>
      </c>
      <c r="G225">
        <v>12.5</v>
      </c>
      <c r="H225">
        <v>72.099999999999994</v>
      </c>
      <c r="I225">
        <v>56.6</v>
      </c>
      <c r="J225">
        <v>0.60799999999999998</v>
      </c>
      <c r="K225">
        <v>3576</v>
      </c>
      <c r="L225">
        <v>1562</v>
      </c>
      <c r="M225">
        <v>358</v>
      </c>
      <c r="N225">
        <v>260</v>
      </c>
      <c r="O225">
        <v>455</v>
      </c>
      <c r="P225">
        <v>314</v>
      </c>
      <c r="Q225">
        <v>7.04</v>
      </c>
      <c r="R225">
        <v>4.66</v>
      </c>
    </row>
    <row r="226" spans="1:18" x14ac:dyDescent="0.25">
      <c r="A226" t="str">
        <f t="shared" si="0"/>
        <v>RHS250X150X6</v>
      </c>
      <c r="B226" t="str">
        <f t="shared" si="1"/>
        <v>250X150X6</v>
      </c>
      <c r="C226">
        <v>250</v>
      </c>
      <c r="D226">
        <v>150</v>
      </c>
      <c r="E226">
        <v>6</v>
      </c>
      <c r="F226">
        <v>9</v>
      </c>
      <c r="G226">
        <v>6</v>
      </c>
      <c r="H226">
        <v>46.2</v>
      </c>
      <c r="I226">
        <v>36.200000000000003</v>
      </c>
      <c r="J226">
        <v>0.78500000000000003</v>
      </c>
      <c r="K226">
        <v>3965</v>
      </c>
      <c r="L226">
        <v>1796</v>
      </c>
      <c r="M226">
        <v>317</v>
      </c>
      <c r="N226">
        <v>239</v>
      </c>
      <c r="O226">
        <v>385</v>
      </c>
      <c r="P226">
        <v>270</v>
      </c>
      <c r="Q226">
        <v>9.27</v>
      </c>
      <c r="R226">
        <v>6.24</v>
      </c>
    </row>
    <row r="227" spans="1:18" x14ac:dyDescent="0.25">
      <c r="A227" t="str">
        <f t="shared" si="0"/>
        <v>RHS250X150X6.3</v>
      </c>
      <c r="B227" t="str">
        <f t="shared" si="1"/>
        <v>250X150X6.3</v>
      </c>
      <c r="C227">
        <v>250</v>
      </c>
      <c r="D227">
        <v>150</v>
      </c>
      <c r="E227">
        <v>6.3</v>
      </c>
      <c r="F227">
        <v>9.5</v>
      </c>
      <c r="G227">
        <v>6.3</v>
      </c>
      <c r="H227">
        <v>48.4</v>
      </c>
      <c r="I227">
        <v>38</v>
      </c>
      <c r="J227">
        <v>0.78400000000000003</v>
      </c>
      <c r="K227">
        <v>4143</v>
      </c>
      <c r="L227">
        <v>1874</v>
      </c>
      <c r="M227">
        <v>331</v>
      </c>
      <c r="N227">
        <v>250</v>
      </c>
      <c r="O227">
        <v>402</v>
      </c>
      <c r="P227">
        <v>283</v>
      </c>
      <c r="Q227">
        <v>9.25</v>
      </c>
      <c r="R227">
        <v>6.22</v>
      </c>
    </row>
    <row r="228" spans="1:18" x14ac:dyDescent="0.25">
      <c r="A228" t="str">
        <f t="shared" si="0"/>
        <v>RHS250X150X8</v>
      </c>
      <c r="B228" t="str">
        <f t="shared" si="1"/>
        <v>250X150X8</v>
      </c>
      <c r="C228">
        <v>250</v>
      </c>
      <c r="D228">
        <v>150</v>
      </c>
      <c r="E228">
        <v>8</v>
      </c>
      <c r="F228">
        <v>12</v>
      </c>
      <c r="G228">
        <v>8</v>
      </c>
      <c r="H228">
        <v>60.8</v>
      </c>
      <c r="I228">
        <v>47.7</v>
      </c>
      <c r="J228">
        <v>0.77900000000000003</v>
      </c>
      <c r="K228">
        <v>5111</v>
      </c>
      <c r="L228">
        <v>2298</v>
      </c>
      <c r="M228">
        <v>409</v>
      </c>
      <c r="N228">
        <v>306</v>
      </c>
      <c r="O228">
        <v>501</v>
      </c>
      <c r="P228">
        <v>350</v>
      </c>
      <c r="Q228">
        <v>9.17</v>
      </c>
      <c r="R228">
        <v>6.15</v>
      </c>
    </row>
    <row r="229" spans="1:18" x14ac:dyDescent="0.25">
      <c r="A229" t="str">
        <f t="shared" si="0"/>
        <v>RHS250X150X10</v>
      </c>
      <c r="B229" t="str">
        <f t="shared" si="1"/>
        <v>250X150X10</v>
      </c>
      <c r="C229">
        <v>250</v>
      </c>
      <c r="D229">
        <v>150</v>
      </c>
      <c r="E229">
        <v>10</v>
      </c>
      <c r="F229">
        <v>15</v>
      </c>
      <c r="G229">
        <v>10</v>
      </c>
      <c r="H229">
        <v>74.900000000000006</v>
      </c>
      <c r="I229">
        <v>58.8</v>
      </c>
      <c r="J229">
        <v>0.77400000000000002</v>
      </c>
      <c r="K229">
        <v>6174</v>
      </c>
      <c r="L229">
        <v>2755</v>
      </c>
      <c r="M229">
        <v>494</v>
      </c>
      <c r="N229">
        <v>367</v>
      </c>
      <c r="O229">
        <v>611</v>
      </c>
      <c r="P229">
        <v>426</v>
      </c>
      <c r="Q229">
        <v>9.08</v>
      </c>
      <c r="R229">
        <v>6.06</v>
      </c>
    </row>
    <row r="230" spans="1:18" x14ac:dyDescent="0.25">
      <c r="A230" t="str">
        <f t="shared" si="0"/>
        <v>RHS250X150X12</v>
      </c>
      <c r="B230" t="str">
        <f t="shared" si="1"/>
        <v>250X150X12</v>
      </c>
      <c r="C230">
        <v>250</v>
      </c>
      <c r="D230">
        <v>150</v>
      </c>
      <c r="E230">
        <v>12</v>
      </c>
      <c r="F230">
        <v>18</v>
      </c>
      <c r="G230">
        <v>12</v>
      </c>
      <c r="H230">
        <v>88.7</v>
      </c>
      <c r="I230">
        <v>69.599999999999994</v>
      </c>
      <c r="J230">
        <v>0.76900000000000002</v>
      </c>
      <c r="K230">
        <v>7154</v>
      </c>
      <c r="L230">
        <v>3168</v>
      </c>
      <c r="M230">
        <v>572</v>
      </c>
      <c r="N230">
        <v>422</v>
      </c>
      <c r="O230">
        <v>715</v>
      </c>
      <c r="P230">
        <v>497</v>
      </c>
      <c r="Q230">
        <v>8.98</v>
      </c>
      <c r="R230">
        <v>5.98</v>
      </c>
    </row>
    <row r="231" spans="1:18" x14ac:dyDescent="0.25">
      <c r="A231" t="str">
        <f t="shared" si="0"/>
        <v>RHS250X150X12.5</v>
      </c>
      <c r="B231" t="str">
        <f t="shared" si="1"/>
        <v>250X150X12.5</v>
      </c>
      <c r="C231">
        <v>250</v>
      </c>
      <c r="D231">
        <v>150</v>
      </c>
      <c r="E231">
        <v>12.5</v>
      </c>
      <c r="F231">
        <v>18.8</v>
      </c>
      <c r="G231">
        <v>12.5</v>
      </c>
      <c r="H231">
        <v>92.1</v>
      </c>
      <c r="I231">
        <v>72.3</v>
      </c>
      <c r="J231">
        <v>0.76800000000000002</v>
      </c>
      <c r="K231">
        <v>7387</v>
      </c>
      <c r="L231">
        <v>3265</v>
      </c>
      <c r="M231">
        <v>591</v>
      </c>
      <c r="N231">
        <v>435</v>
      </c>
      <c r="O231">
        <v>740</v>
      </c>
      <c r="P231">
        <v>514</v>
      </c>
      <c r="Q231">
        <v>8.9600000000000009</v>
      </c>
      <c r="R231">
        <v>5.96</v>
      </c>
    </row>
    <row r="232" spans="1:18" x14ac:dyDescent="0.25">
      <c r="A232" t="str">
        <f t="shared" si="0"/>
        <v>RHS250X150X16</v>
      </c>
      <c r="B232" t="str">
        <f t="shared" si="1"/>
        <v>250X150X16</v>
      </c>
      <c r="C232">
        <v>250</v>
      </c>
      <c r="D232">
        <v>150</v>
      </c>
      <c r="E232">
        <v>16</v>
      </c>
      <c r="F232">
        <v>24</v>
      </c>
      <c r="G232">
        <v>16</v>
      </c>
      <c r="H232">
        <v>115</v>
      </c>
      <c r="I232">
        <v>90.3</v>
      </c>
      <c r="J232">
        <v>0.75900000000000001</v>
      </c>
      <c r="K232">
        <v>8879</v>
      </c>
      <c r="L232">
        <v>3873</v>
      </c>
      <c r="M232">
        <v>710</v>
      </c>
      <c r="N232">
        <v>516</v>
      </c>
      <c r="O232">
        <v>906</v>
      </c>
      <c r="P232">
        <v>625</v>
      </c>
      <c r="Q232">
        <v>8.7899999999999991</v>
      </c>
      <c r="R232">
        <v>5.8</v>
      </c>
    </row>
    <row r="233" spans="1:18" x14ac:dyDescent="0.25">
      <c r="A233" t="str">
        <f t="shared" si="0"/>
        <v>RHS260X180X6</v>
      </c>
      <c r="B233" t="str">
        <f t="shared" si="1"/>
        <v>260X180X6</v>
      </c>
      <c r="C233">
        <v>260</v>
      </c>
      <c r="D233">
        <v>180</v>
      </c>
      <c r="E233">
        <v>6</v>
      </c>
      <c r="F233">
        <v>9</v>
      </c>
      <c r="G233">
        <v>6</v>
      </c>
      <c r="H233">
        <v>51</v>
      </c>
      <c r="I233">
        <v>40</v>
      </c>
      <c r="J233">
        <v>0.86499999999999999</v>
      </c>
      <c r="K233">
        <v>4942</v>
      </c>
      <c r="L233">
        <v>2804</v>
      </c>
      <c r="M233">
        <v>380</v>
      </c>
      <c r="N233">
        <v>312</v>
      </c>
      <c r="O233">
        <v>454</v>
      </c>
      <c r="P233">
        <v>353</v>
      </c>
      <c r="Q233">
        <v>9.85</v>
      </c>
      <c r="R233">
        <v>7.42</v>
      </c>
    </row>
    <row r="234" spans="1:18" x14ac:dyDescent="0.25">
      <c r="A234" t="str">
        <f t="shared" si="0"/>
        <v>RHS260X180X6.3</v>
      </c>
      <c r="B234" t="str">
        <f t="shared" si="1"/>
        <v>260X180X6.3</v>
      </c>
      <c r="C234">
        <v>260</v>
      </c>
      <c r="D234">
        <v>180</v>
      </c>
      <c r="E234">
        <v>6.3</v>
      </c>
      <c r="F234">
        <v>9.5</v>
      </c>
      <c r="G234">
        <v>6.3</v>
      </c>
      <c r="H234">
        <v>53.4</v>
      </c>
      <c r="I234">
        <v>41.9</v>
      </c>
      <c r="J234">
        <v>0.86399999999999999</v>
      </c>
      <c r="K234">
        <v>5166</v>
      </c>
      <c r="L234">
        <v>2929</v>
      </c>
      <c r="M234">
        <v>397</v>
      </c>
      <c r="N234">
        <v>325</v>
      </c>
      <c r="O234">
        <v>475</v>
      </c>
      <c r="P234">
        <v>369</v>
      </c>
      <c r="Q234">
        <v>9.83</v>
      </c>
      <c r="R234">
        <v>7.4</v>
      </c>
    </row>
    <row r="235" spans="1:18" x14ac:dyDescent="0.25">
      <c r="A235" t="str">
        <f t="shared" si="0"/>
        <v>RHS260X180X8</v>
      </c>
      <c r="B235" t="str">
        <f t="shared" si="1"/>
        <v>260X180X8</v>
      </c>
      <c r="C235">
        <v>260</v>
      </c>
      <c r="D235">
        <v>180</v>
      </c>
      <c r="E235">
        <v>8</v>
      </c>
      <c r="F235">
        <v>12</v>
      </c>
      <c r="G235">
        <v>8</v>
      </c>
      <c r="H235">
        <v>67.2</v>
      </c>
      <c r="I235">
        <v>52.7</v>
      </c>
      <c r="J235">
        <v>0.85899999999999999</v>
      </c>
      <c r="K235">
        <v>6390</v>
      </c>
      <c r="L235">
        <v>3608</v>
      </c>
      <c r="M235">
        <v>492</v>
      </c>
      <c r="N235">
        <v>401</v>
      </c>
      <c r="O235">
        <v>592</v>
      </c>
      <c r="P235">
        <v>459</v>
      </c>
      <c r="Q235">
        <v>9.75</v>
      </c>
      <c r="R235">
        <v>7.33</v>
      </c>
    </row>
    <row r="236" spans="1:18" x14ac:dyDescent="0.25">
      <c r="A236" t="str">
        <f t="shared" si="0"/>
        <v>RHS260X180X10</v>
      </c>
      <c r="B236" t="str">
        <f t="shared" si="1"/>
        <v>260X180X10</v>
      </c>
      <c r="C236">
        <v>260</v>
      </c>
      <c r="D236">
        <v>180</v>
      </c>
      <c r="E236">
        <v>10</v>
      </c>
      <c r="F236">
        <v>15</v>
      </c>
      <c r="G236">
        <v>10</v>
      </c>
      <c r="H236">
        <v>82.9</v>
      </c>
      <c r="I236">
        <v>65.099999999999994</v>
      </c>
      <c r="J236">
        <v>0.85399999999999998</v>
      </c>
      <c r="K236">
        <v>7741</v>
      </c>
      <c r="L236">
        <v>4351</v>
      </c>
      <c r="M236">
        <v>595</v>
      </c>
      <c r="N236">
        <v>483</v>
      </c>
      <c r="O236">
        <v>724</v>
      </c>
      <c r="P236">
        <v>560</v>
      </c>
      <c r="Q236">
        <v>9.66</v>
      </c>
      <c r="R236">
        <v>7.24</v>
      </c>
    </row>
    <row r="237" spans="1:18" x14ac:dyDescent="0.25">
      <c r="A237" t="str">
        <f t="shared" si="0"/>
        <v>RHS260X180X12</v>
      </c>
      <c r="B237" t="str">
        <f t="shared" si="1"/>
        <v>260X180X12</v>
      </c>
      <c r="C237">
        <v>260</v>
      </c>
      <c r="D237">
        <v>180</v>
      </c>
      <c r="E237">
        <v>12</v>
      </c>
      <c r="F237">
        <v>18</v>
      </c>
      <c r="G237">
        <v>12</v>
      </c>
      <c r="H237">
        <v>98.3</v>
      </c>
      <c r="I237">
        <v>77.2</v>
      </c>
      <c r="J237">
        <v>0.84899999999999998</v>
      </c>
      <c r="K237">
        <v>8999</v>
      </c>
      <c r="L237">
        <v>5034</v>
      </c>
      <c r="M237">
        <v>692</v>
      </c>
      <c r="N237">
        <v>559</v>
      </c>
      <c r="O237">
        <v>849</v>
      </c>
      <c r="P237">
        <v>656</v>
      </c>
      <c r="Q237">
        <v>9.57</v>
      </c>
      <c r="R237">
        <v>7.16</v>
      </c>
    </row>
    <row r="238" spans="1:18" x14ac:dyDescent="0.25">
      <c r="A238" t="str">
        <f t="shared" si="0"/>
        <v>RHS260X180X12.5</v>
      </c>
      <c r="B238" t="str">
        <f t="shared" si="1"/>
        <v>260X180X12.5</v>
      </c>
      <c r="C238">
        <v>260</v>
      </c>
      <c r="D238">
        <v>180</v>
      </c>
      <c r="E238">
        <v>12.5</v>
      </c>
      <c r="F238">
        <v>18.8</v>
      </c>
      <c r="G238">
        <v>12.5</v>
      </c>
      <c r="H238">
        <v>102</v>
      </c>
      <c r="I238">
        <v>80.099999999999994</v>
      </c>
      <c r="J238">
        <v>0.84799999999999998</v>
      </c>
      <c r="K238">
        <v>9299</v>
      </c>
      <c r="L238">
        <v>5196</v>
      </c>
      <c r="M238">
        <v>715</v>
      </c>
      <c r="N238">
        <v>577</v>
      </c>
      <c r="O238">
        <v>879</v>
      </c>
      <c r="P238">
        <v>679</v>
      </c>
      <c r="Q238">
        <v>9.5399999999999991</v>
      </c>
      <c r="R238">
        <v>7.13</v>
      </c>
    </row>
    <row r="239" spans="1:18" x14ac:dyDescent="0.25">
      <c r="A239" t="str">
        <f t="shared" si="0"/>
        <v>RHS260X180X16</v>
      </c>
      <c r="B239" t="str">
        <f t="shared" si="1"/>
        <v>260X180X16</v>
      </c>
      <c r="C239">
        <v>260</v>
      </c>
      <c r="D239">
        <v>180</v>
      </c>
      <c r="E239">
        <v>16</v>
      </c>
      <c r="F239">
        <v>24</v>
      </c>
      <c r="G239">
        <v>16</v>
      </c>
      <c r="H239">
        <v>128</v>
      </c>
      <c r="I239">
        <v>100</v>
      </c>
      <c r="J239">
        <v>0.83899999999999997</v>
      </c>
      <c r="K239">
        <v>11245</v>
      </c>
      <c r="L239">
        <v>6231</v>
      </c>
      <c r="M239">
        <v>865</v>
      </c>
      <c r="N239">
        <v>692</v>
      </c>
      <c r="O239">
        <v>1081</v>
      </c>
      <c r="P239">
        <v>831</v>
      </c>
      <c r="Q239">
        <v>9.3800000000000008</v>
      </c>
      <c r="R239">
        <v>6.98</v>
      </c>
    </row>
    <row r="240" spans="1:18" x14ac:dyDescent="0.25">
      <c r="A240" t="str">
        <f t="shared" si="0"/>
        <v>RHS300X200X6</v>
      </c>
      <c r="B240" t="str">
        <f t="shared" si="1"/>
        <v>300X200X6</v>
      </c>
      <c r="C240">
        <v>300</v>
      </c>
      <c r="D240">
        <v>200</v>
      </c>
      <c r="E240">
        <v>6</v>
      </c>
      <c r="F240">
        <v>9</v>
      </c>
      <c r="G240">
        <v>6</v>
      </c>
      <c r="H240">
        <v>58.2</v>
      </c>
      <c r="I240">
        <v>45.7</v>
      </c>
      <c r="J240">
        <v>0.98499999999999999</v>
      </c>
      <c r="K240">
        <v>7486</v>
      </c>
      <c r="L240">
        <v>4013</v>
      </c>
      <c r="M240">
        <v>499</v>
      </c>
      <c r="N240">
        <v>401</v>
      </c>
      <c r="O240">
        <v>596</v>
      </c>
      <c r="P240">
        <v>451</v>
      </c>
      <c r="Q240">
        <v>11.3</v>
      </c>
      <c r="R240">
        <v>8.31</v>
      </c>
    </row>
    <row r="241" spans="1:18" x14ac:dyDescent="0.25">
      <c r="A241" t="str">
        <f t="shared" si="0"/>
        <v>RHS300X200X6.3</v>
      </c>
      <c r="B241" t="str">
        <f t="shared" si="1"/>
        <v>300X200X6.3</v>
      </c>
      <c r="C241">
        <v>300</v>
      </c>
      <c r="D241">
        <v>200</v>
      </c>
      <c r="E241">
        <v>6.3</v>
      </c>
      <c r="F241">
        <v>9.5</v>
      </c>
      <c r="G241">
        <v>6.3</v>
      </c>
      <c r="H241">
        <v>61</v>
      </c>
      <c r="I241">
        <v>47.9</v>
      </c>
      <c r="J241">
        <v>0.98399999999999999</v>
      </c>
      <c r="K241">
        <v>7829</v>
      </c>
      <c r="L241">
        <v>4193</v>
      </c>
      <c r="M241">
        <v>522</v>
      </c>
      <c r="N241">
        <v>419</v>
      </c>
      <c r="O241">
        <v>624</v>
      </c>
      <c r="P241">
        <v>472</v>
      </c>
      <c r="Q241">
        <v>11.3</v>
      </c>
      <c r="R241">
        <v>8.2899999999999991</v>
      </c>
    </row>
    <row r="242" spans="1:18" x14ac:dyDescent="0.25">
      <c r="A242" t="str">
        <f t="shared" si="0"/>
        <v>RHS300X200X8</v>
      </c>
      <c r="B242" t="str">
        <f t="shared" si="1"/>
        <v>300X200X8</v>
      </c>
      <c r="C242">
        <v>300</v>
      </c>
      <c r="D242">
        <v>200</v>
      </c>
      <c r="E242">
        <v>8</v>
      </c>
      <c r="F242">
        <v>12</v>
      </c>
      <c r="G242">
        <v>8</v>
      </c>
      <c r="H242">
        <v>76.8</v>
      </c>
      <c r="I242">
        <v>60.3</v>
      </c>
      <c r="J242">
        <v>0.97899999999999998</v>
      </c>
      <c r="K242">
        <v>9717</v>
      </c>
      <c r="L242">
        <v>5184</v>
      </c>
      <c r="M242">
        <v>648</v>
      </c>
      <c r="N242">
        <v>518</v>
      </c>
      <c r="O242">
        <v>779</v>
      </c>
      <c r="P242">
        <v>589</v>
      </c>
      <c r="Q242">
        <v>11.3</v>
      </c>
      <c r="R242">
        <v>8.2200000000000006</v>
      </c>
    </row>
    <row r="243" spans="1:18" x14ac:dyDescent="0.25">
      <c r="A243" t="str">
        <f t="shared" si="0"/>
        <v>RHS300X200X10</v>
      </c>
      <c r="B243" t="str">
        <f t="shared" si="1"/>
        <v>300X200X10</v>
      </c>
      <c r="C243">
        <v>300</v>
      </c>
      <c r="D243">
        <v>200</v>
      </c>
      <c r="E243">
        <v>10</v>
      </c>
      <c r="F243">
        <v>15</v>
      </c>
      <c r="G243">
        <v>10</v>
      </c>
      <c r="H243">
        <v>94.9</v>
      </c>
      <c r="I243">
        <v>74.5</v>
      </c>
      <c r="J243">
        <v>0.97399999999999998</v>
      </c>
      <c r="K243">
        <v>11819</v>
      </c>
      <c r="L243">
        <v>6278</v>
      </c>
      <c r="M243">
        <v>788</v>
      </c>
      <c r="N243">
        <v>628</v>
      </c>
      <c r="O243">
        <v>956</v>
      </c>
      <c r="P243">
        <v>721</v>
      </c>
      <c r="Q243">
        <v>11.2</v>
      </c>
      <c r="R243">
        <v>8.1300000000000008</v>
      </c>
    </row>
    <row r="244" spans="1:18" x14ac:dyDescent="0.25">
      <c r="A244" t="str">
        <f t="shared" si="0"/>
        <v>RHS300X200X12</v>
      </c>
      <c r="B244" t="str">
        <f t="shared" si="1"/>
        <v>300X200X12</v>
      </c>
      <c r="C244">
        <v>300</v>
      </c>
      <c r="D244">
        <v>200</v>
      </c>
      <c r="E244">
        <v>12</v>
      </c>
      <c r="F244">
        <v>18</v>
      </c>
      <c r="G244">
        <v>12</v>
      </c>
      <c r="H244">
        <v>113</v>
      </c>
      <c r="I244">
        <v>88.5</v>
      </c>
      <c r="J244">
        <v>0.96899999999999997</v>
      </c>
      <c r="K244">
        <v>13797</v>
      </c>
      <c r="L244">
        <v>7294</v>
      </c>
      <c r="M244">
        <v>920</v>
      </c>
      <c r="N244">
        <v>729</v>
      </c>
      <c r="O244">
        <v>1124</v>
      </c>
      <c r="P244">
        <v>847</v>
      </c>
      <c r="Q244">
        <v>11.1</v>
      </c>
      <c r="R244">
        <v>8.0500000000000007</v>
      </c>
    </row>
    <row r="245" spans="1:18" x14ac:dyDescent="0.25">
      <c r="A245" t="str">
        <f t="shared" si="0"/>
        <v>RHS300X200X12.5</v>
      </c>
      <c r="B245" t="str">
        <f t="shared" si="1"/>
        <v>300X200X12.5</v>
      </c>
      <c r="C245">
        <v>300</v>
      </c>
      <c r="D245">
        <v>200</v>
      </c>
      <c r="E245">
        <v>12.5</v>
      </c>
      <c r="F245">
        <v>18.8</v>
      </c>
      <c r="G245">
        <v>12.5</v>
      </c>
      <c r="H245">
        <v>117</v>
      </c>
      <c r="I245">
        <v>91.9</v>
      </c>
      <c r="J245">
        <v>0.96799999999999997</v>
      </c>
      <c r="K245">
        <v>14273</v>
      </c>
      <c r="L245">
        <v>7537</v>
      </c>
      <c r="M245">
        <v>952</v>
      </c>
      <c r="N245">
        <v>754</v>
      </c>
      <c r="O245">
        <v>1165</v>
      </c>
      <c r="P245">
        <v>877</v>
      </c>
      <c r="Q245">
        <v>11</v>
      </c>
      <c r="R245">
        <v>8.02</v>
      </c>
    </row>
    <row r="246" spans="1:18" x14ac:dyDescent="0.25">
      <c r="A246" t="str">
        <f t="shared" si="0"/>
        <v>RHS300X200X16</v>
      </c>
      <c r="B246" t="str">
        <f t="shared" si="1"/>
        <v>300X200X16</v>
      </c>
      <c r="C246">
        <v>300</v>
      </c>
      <c r="D246">
        <v>200</v>
      </c>
      <c r="E246">
        <v>16</v>
      </c>
      <c r="F246">
        <v>24</v>
      </c>
      <c r="G246">
        <v>16</v>
      </c>
      <c r="H246">
        <v>147</v>
      </c>
      <c r="I246">
        <v>115</v>
      </c>
      <c r="J246">
        <v>0.95899999999999996</v>
      </c>
      <c r="K246">
        <v>17390</v>
      </c>
      <c r="L246">
        <v>9109</v>
      </c>
      <c r="M246">
        <v>1159</v>
      </c>
      <c r="N246">
        <v>911</v>
      </c>
      <c r="O246">
        <v>1441</v>
      </c>
      <c r="P246">
        <v>1080</v>
      </c>
      <c r="Q246">
        <v>10.9</v>
      </c>
      <c r="R246">
        <v>7.87</v>
      </c>
    </row>
    <row r="247" spans="1:18" x14ac:dyDescent="0.25">
      <c r="A247" t="str">
        <f t="shared" si="0"/>
        <v>RHS350X250X6</v>
      </c>
      <c r="B247" t="str">
        <f t="shared" si="1"/>
        <v>350X250X6</v>
      </c>
      <c r="C247">
        <v>350</v>
      </c>
      <c r="D247">
        <v>250</v>
      </c>
      <c r="E247">
        <v>6</v>
      </c>
      <c r="F247">
        <v>9</v>
      </c>
      <c r="G247">
        <v>6</v>
      </c>
      <c r="H247">
        <v>70.2</v>
      </c>
      <c r="I247">
        <v>55.1</v>
      </c>
      <c r="J247">
        <v>1.18</v>
      </c>
      <c r="K247">
        <v>12616</v>
      </c>
      <c r="L247">
        <v>7538</v>
      </c>
      <c r="M247">
        <v>721</v>
      </c>
      <c r="N247">
        <v>603</v>
      </c>
      <c r="O247">
        <v>852</v>
      </c>
      <c r="P247">
        <v>677</v>
      </c>
      <c r="Q247">
        <v>13.4</v>
      </c>
      <c r="R247">
        <v>10.4</v>
      </c>
    </row>
    <row r="248" spans="1:18" x14ac:dyDescent="0.25">
      <c r="A248" t="str">
        <f t="shared" si="0"/>
        <v>RHS350X250X6.3</v>
      </c>
      <c r="B248" t="str">
        <f t="shared" si="1"/>
        <v>350X250X6.3</v>
      </c>
      <c r="C248">
        <v>350</v>
      </c>
      <c r="D248">
        <v>250</v>
      </c>
      <c r="E248">
        <v>6.3</v>
      </c>
      <c r="F248">
        <v>9.5</v>
      </c>
      <c r="G248">
        <v>6.3</v>
      </c>
      <c r="H248">
        <v>73.599999999999994</v>
      </c>
      <c r="I248">
        <v>57.8</v>
      </c>
      <c r="J248">
        <v>1.18</v>
      </c>
      <c r="K248">
        <v>13203</v>
      </c>
      <c r="L248">
        <v>7885</v>
      </c>
      <c r="M248">
        <v>754</v>
      </c>
      <c r="N248">
        <v>631</v>
      </c>
      <c r="O248">
        <v>892</v>
      </c>
      <c r="P248">
        <v>709</v>
      </c>
      <c r="Q248">
        <v>13.4</v>
      </c>
      <c r="R248">
        <v>10.4</v>
      </c>
    </row>
    <row r="249" spans="1:18" x14ac:dyDescent="0.25">
      <c r="A249" t="str">
        <f t="shared" si="0"/>
        <v>RHS350X250X8</v>
      </c>
      <c r="B249" t="str">
        <f t="shared" si="1"/>
        <v>350X250X8</v>
      </c>
      <c r="C249">
        <v>350</v>
      </c>
      <c r="D249">
        <v>250</v>
      </c>
      <c r="E249">
        <v>8</v>
      </c>
      <c r="F249">
        <v>12</v>
      </c>
      <c r="G249">
        <v>8</v>
      </c>
      <c r="H249">
        <v>92.8</v>
      </c>
      <c r="I249">
        <v>72.8</v>
      </c>
      <c r="J249">
        <v>1.18</v>
      </c>
      <c r="K249">
        <v>16449</v>
      </c>
      <c r="L249">
        <v>9798</v>
      </c>
      <c r="M249">
        <v>940</v>
      </c>
      <c r="N249">
        <v>784</v>
      </c>
      <c r="O249">
        <v>1118</v>
      </c>
      <c r="P249">
        <v>888</v>
      </c>
      <c r="Q249">
        <v>13.3</v>
      </c>
      <c r="R249">
        <v>10.3</v>
      </c>
    </row>
    <row r="250" spans="1:18" x14ac:dyDescent="0.25">
      <c r="A250" t="str">
        <f t="shared" si="0"/>
        <v>RHS350X250X10</v>
      </c>
      <c r="B250" t="str">
        <f t="shared" si="1"/>
        <v>350X250X10</v>
      </c>
      <c r="C250">
        <v>350</v>
      </c>
      <c r="D250">
        <v>250</v>
      </c>
      <c r="E250">
        <v>10</v>
      </c>
      <c r="F250">
        <v>15</v>
      </c>
      <c r="G250">
        <v>10</v>
      </c>
      <c r="H250">
        <v>115</v>
      </c>
      <c r="I250">
        <v>90.2</v>
      </c>
      <c r="J250">
        <v>1.17</v>
      </c>
      <c r="K250">
        <v>20102</v>
      </c>
      <c r="L250">
        <v>11937</v>
      </c>
      <c r="M250">
        <v>1149</v>
      </c>
      <c r="N250">
        <v>955</v>
      </c>
      <c r="O250">
        <v>1375</v>
      </c>
      <c r="P250">
        <v>1091</v>
      </c>
      <c r="Q250">
        <v>13.2</v>
      </c>
      <c r="R250">
        <v>10.199999999999999</v>
      </c>
    </row>
    <row r="251" spans="1:18" x14ac:dyDescent="0.25">
      <c r="A251" t="str">
        <f t="shared" si="0"/>
        <v>RHS350X250X12</v>
      </c>
      <c r="B251" t="str">
        <f t="shared" si="1"/>
        <v>350X250X12</v>
      </c>
      <c r="C251">
        <v>350</v>
      </c>
      <c r="D251">
        <v>250</v>
      </c>
      <c r="E251">
        <v>12</v>
      </c>
      <c r="F251">
        <v>18</v>
      </c>
      <c r="G251">
        <v>12</v>
      </c>
      <c r="H251">
        <v>137</v>
      </c>
      <c r="I251">
        <v>107</v>
      </c>
      <c r="J251">
        <v>1.17</v>
      </c>
      <c r="K251">
        <v>23577</v>
      </c>
      <c r="L251">
        <v>13957</v>
      </c>
      <c r="M251">
        <v>1347</v>
      </c>
      <c r="N251">
        <v>1117</v>
      </c>
      <c r="O251">
        <v>1624</v>
      </c>
      <c r="P251">
        <v>1286</v>
      </c>
      <c r="Q251">
        <v>13.1</v>
      </c>
      <c r="R251">
        <v>10.1</v>
      </c>
    </row>
    <row r="252" spans="1:18" x14ac:dyDescent="0.25">
      <c r="A252" t="str">
        <f t="shared" si="0"/>
        <v>RHS350X250X12.5</v>
      </c>
      <c r="B252" t="str">
        <f t="shared" si="1"/>
        <v>350X250X12.5</v>
      </c>
      <c r="C252">
        <v>350</v>
      </c>
      <c r="D252">
        <v>250</v>
      </c>
      <c r="E252">
        <v>12.5</v>
      </c>
      <c r="F252">
        <v>18.8</v>
      </c>
      <c r="G252">
        <v>12.5</v>
      </c>
      <c r="H252">
        <v>142</v>
      </c>
      <c r="I252">
        <v>112</v>
      </c>
      <c r="J252">
        <v>1.17</v>
      </c>
      <c r="K252">
        <v>24419</v>
      </c>
      <c r="L252">
        <v>14444</v>
      </c>
      <c r="M252">
        <v>1395</v>
      </c>
      <c r="N252">
        <v>1156</v>
      </c>
      <c r="O252">
        <v>1685</v>
      </c>
      <c r="P252">
        <v>1334</v>
      </c>
      <c r="Q252">
        <v>13.1</v>
      </c>
      <c r="R252">
        <v>10.1</v>
      </c>
    </row>
    <row r="253" spans="1:18" x14ac:dyDescent="0.25">
      <c r="A253" t="str">
        <f t="shared" si="0"/>
        <v>RHS350X250X16</v>
      </c>
      <c r="B253" t="str">
        <f t="shared" si="1"/>
        <v>350X250X16</v>
      </c>
      <c r="C253">
        <v>350</v>
      </c>
      <c r="D253">
        <v>250</v>
      </c>
      <c r="E253">
        <v>16</v>
      </c>
      <c r="F253">
        <v>24</v>
      </c>
      <c r="G253">
        <v>16</v>
      </c>
      <c r="H253">
        <v>179</v>
      </c>
      <c r="I253">
        <v>141</v>
      </c>
      <c r="J253">
        <v>1.1599999999999999</v>
      </c>
      <c r="K253">
        <v>30011</v>
      </c>
      <c r="L253">
        <v>17654</v>
      </c>
      <c r="M253">
        <v>1715</v>
      </c>
      <c r="N253">
        <v>1412</v>
      </c>
      <c r="O253">
        <v>2095</v>
      </c>
      <c r="P253">
        <v>1655</v>
      </c>
      <c r="Q253">
        <v>12.9</v>
      </c>
      <c r="R253">
        <v>9.93</v>
      </c>
    </row>
    <row r="254" spans="1:18" x14ac:dyDescent="0.25">
      <c r="A254" t="str">
        <f t="shared" si="0"/>
        <v>RHS400X200X8</v>
      </c>
      <c r="B254" t="str">
        <f t="shared" si="1"/>
        <v>400X200X8</v>
      </c>
      <c r="C254">
        <v>400</v>
      </c>
      <c r="D254">
        <v>200</v>
      </c>
      <c r="E254">
        <v>8</v>
      </c>
      <c r="F254">
        <v>12</v>
      </c>
      <c r="G254">
        <v>8</v>
      </c>
      <c r="H254">
        <v>92.8</v>
      </c>
      <c r="I254">
        <v>72.8</v>
      </c>
      <c r="J254">
        <v>1.18</v>
      </c>
      <c r="K254">
        <v>19562</v>
      </c>
      <c r="L254">
        <v>6660</v>
      </c>
      <c r="M254">
        <v>978</v>
      </c>
      <c r="N254">
        <v>666</v>
      </c>
      <c r="O254">
        <v>1203</v>
      </c>
      <c r="P254">
        <v>743</v>
      </c>
      <c r="Q254">
        <v>14.5</v>
      </c>
      <c r="R254">
        <v>8.4700000000000006</v>
      </c>
    </row>
    <row r="255" spans="1:18" x14ac:dyDescent="0.25">
      <c r="A255" t="str">
        <f t="shared" si="0"/>
        <v>RHS400X200X10</v>
      </c>
      <c r="B255" t="str">
        <f t="shared" si="1"/>
        <v>400X200X10</v>
      </c>
      <c r="C255">
        <v>400</v>
      </c>
      <c r="D255">
        <v>200</v>
      </c>
      <c r="E255">
        <v>10</v>
      </c>
      <c r="F255">
        <v>15</v>
      </c>
      <c r="G255">
        <v>10</v>
      </c>
      <c r="H255">
        <v>115</v>
      </c>
      <c r="I255">
        <v>90.2</v>
      </c>
      <c r="J255">
        <v>1.17</v>
      </c>
      <c r="K255">
        <v>23914</v>
      </c>
      <c r="L255">
        <v>8084</v>
      </c>
      <c r="M255">
        <v>1196</v>
      </c>
      <c r="N255">
        <v>808</v>
      </c>
      <c r="O255">
        <v>1480</v>
      </c>
      <c r="P255">
        <v>911</v>
      </c>
      <c r="Q255">
        <v>14.4</v>
      </c>
      <c r="R255">
        <v>8.39</v>
      </c>
    </row>
    <row r="256" spans="1:18" x14ac:dyDescent="0.25">
      <c r="A256" t="str">
        <f t="shared" ref="A256:A268" si="2">"RHS"&amp;B256</f>
        <v>RHS400X200X12</v>
      </c>
      <c r="B256" t="str">
        <f t="shared" ref="B256:B268" si="3">C256&amp;"X"&amp;D256&amp;"X"&amp;E256</f>
        <v>400X200X12</v>
      </c>
      <c r="C256">
        <v>400</v>
      </c>
      <c r="D256">
        <v>200</v>
      </c>
      <c r="E256">
        <v>12</v>
      </c>
      <c r="F256">
        <v>18</v>
      </c>
      <c r="G256">
        <v>12</v>
      </c>
      <c r="H256">
        <v>137</v>
      </c>
      <c r="I256">
        <v>107</v>
      </c>
      <c r="J256">
        <v>1.17</v>
      </c>
      <c r="K256">
        <v>28059</v>
      </c>
      <c r="L256">
        <v>9418</v>
      </c>
      <c r="M256">
        <v>1403</v>
      </c>
      <c r="N256">
        <v>942</v>
      </c>
      <c r="O256">
        <v>1748</v>
      </c>
      <c r="P256">
        <v>1072</v>
      </c>
      <c r="Q256">
        <v>14.3</v>
      </c>
      <c r="R256">
        <v>8.3000000000000007</v>
      </c>
    </row>
    <row r="257" spans="1:18" x14ac:dyDescent="0.25">
      <c r="A257" t="str">
        <f t="shared" si="2"/>
        <v>RHS400X200X12.5</v>
      </c>
      <c r="B257" t="str">
        <f t="shared" si="3"/>
        <v>400X200X12.5</v>
      </c>
      <c r="C257">
        <v>400</v>
      </c>
      <c r="D257">
        <v>200</v>
      </c>
      <c r="E257">
        <v>12.5</v>
      </c>
      <c r="F257">
        <v>18.8</v>
      </c>
      <c r="G257">
        <v>12.5</v>
      </c>
      <c r="H257">
        <v>142</v>
      </c>
      <c r="I257">
        <v>112</v>
      </c>
      <c r="J257">
        <v>1.17</v>
      </c>
      <c r="K257">
        <v>29063</v>
      </c>
      <c r="L257">
        <v>9738</v>
      </c>
      <c r="M257">
        <v>1453</v>
      </c>
      <c r="N257">
        <v>974</v>
      </c>
      <c r="O257">
        <v>1813</v>
      </c>
      <c r="P257">
        <v>1111</v>
      </c>
      <c r="Q257">
        <v>14.3</v>
      </c>
      <c r="R257">
        <v>8.2799999999999994</v>
      </c>
    </row>
    <row r="258" spans="1:18" x14ac:dyDescent="0.25">
      <c r="A258" t="str">
        <f t="shared" si="2"/>
        <v>RHS400X200X16</v>
      </c>
      <c r="B258" t="str">
        <f t="shared" si="3"/>
        <v>400X200X16</v>
      </c>
      <c r="C258">
        <v>400</v>
      </c>
      <c r="D258">
        <v>200</v>
      </c>
      <c r="E258">
        <v>16</v>
      </c>
      <c r="F258">
        <v>24</v>
      </c>
      <c r="G258">
        <v>16</v>
      </c>
      <c r="H258">
        <v>179</v>
      </c>
      <c r="I258">
        <v>141</v>
      </c>
      <c r="J258">
        <v>1.1599999999999999</v>
      </c>
      <c r="K258">
        <v>35738</v>
      </c>
      <c r="L258">
        <v>11824</v>
      </c>
      <c r="M258">
        <v>1787</v>
      </c>
      <c r="N258">
        <v>1182</v>
      </c>
      <c r="O258">
        <v>2256</v>
      </c>
      <c r="P258">
        <v>1374</v>
      </c>
      <c r="Q258">
        <v>14.1</v>
      </c>
      <c r="R258">
        <v>8.1300000000000008</v>
      </c>
    </row>
    <row r="259" spans="1:18" x14ac:dyDescent="0.25">
      <c r="A259" t="str">
        <f t="shared" si="2"/>
        <v>RHS450X250X8</v>
      </c>
      <c r="B259" t="str">
        <f t="shared" si="3"/>
        <v>450X250X8</v>
      </c>
      <c r="C259">
        <v>450</v>
      </c>
      <c r="D259">
        <v>250</v>
      </c>
      <c r="E259">
        <v>8</v>
      </c>
      <c r="F259">
        <v>12</v>
      </c>
      <c r="G259">
        <v>8</v>
      </c>
      <c r="H259">
        <v>109</v>
      </c>
      <c r="I259">
        <v>85.4</v>
      </c>
      <c r="J259">
        <v>1.38</v>
      </c>
      <c r="K259">
        <v>30082</v>
      </c>
      <c r="L259">
        <v>12142</v>
      </c>
      <c r="M259">
        <v>1337</v>
      </c>
      <c r="N259">
        <v>971</v>
      </c>
      <c r="O259">
        <v>1622</v>
      </c>
      <c r="P259">
        <v>1081</v>
      </c>
      <c r="Q259">
        <v>16.600000000000001</v>
      </c>
      <c r="R259">
        <v>10.6</v>
      </c>
    </row>
    <row r="260" spans="1:18" x14ac:dyDescent="0.25">
      <c r="A260" t="str">
        <f t="shared" si="2"/>
        <v>RHS450X250X10</v>
      </c>
      <c r="B260" t="str">
        <f t="shared" si="3"/>
        <v>450X250X10</v>
      </c>
      <c r="C260">
        <v>450</v>
      </c>
      <c r="D260">
        <v>250</v>
      </c>
      <c r="E260">
        <v>10</v>
      </c>
      <c r="F260">
        <v>15</v>
      </c>
      <c r="G260">
        <v>10</v>
      </c>
      <c r="H260">
        <v>135</v>
      </c>
      <c r="I260">
        <v>106</v>
      </c>
      <c r="J260">
        <v>1.37</v>
      </c>
      <c r="K260">
        <v>36895</v>
      </c>
      <c r="L260">
        <v>14819</v>
      </c>
      <c r="M260">
        <v>1640</v>
      </c>
      <c r="N260">
        <v>1185</v>
      </c>
      <c r="O260">
        <v>2000</v>
      </c>
      <c r="P260">
        <v>1331</v>
      </c>
      <c r="Q260">
        <v>16.5</v>
      </c>
      <c r="R260">
        <v>10.5</v>
      </c>
    </row>
    <row r="261" spans="1:18" x14ac:dyDescent="0.25">
      <c r="A261" t="str">
        <f t="shared" si="2"/>
        <v>RHS450X250X12</v>
      </c>
      <c r="B261" t="str">
        <f t="shared" si="3"/>
        <v>450X250X12</v>
      </c>
      <c r="C261">
        <v>450</v>
      </c>
      <c r="D261">
        <v>250</v>
      </c>
      <c r="E261">
        <v>12</v>
      </c>
      <c r="F261">
        <v>18</v>
      </c>
      <c r="G261">
        <v>12</v>
      </c>
      <c r="H261">
        <v>161</v>
      </c>
      <c r="I261">
        <v>126</v>
      </c>
      <c r="J261">
        <v>1.37</v>
      </c>
      <c r="K261">
        <v>43434</v>
      </c>
      <c r="L261">
        <v>17359</v>
      </c>
      <c r="M261">
        <v>1930</v>
      </c>
      <c r="N261">
        <v>1389</v>
      </c>
      <c r="O261">
        <v>2367</v>
      </c>
      <c r="P261">
        <v>1572</v>
      </c>
      <c r="Q261">
        <v>16.399999999999999</v>
      </c>
      <c r="R261">
        <v>10.4</v>
      </c>
    </row>
    <row r="262" spans="1:18" x14ac:dyDescent="0.25">
      <c r="A262" t="str">
        <f t="shared" si="2"/>
        <v>RHS450X250X12.5</v>
      </c>
      <c r="B262" t="str">
        <f t="shared" si="3"/>
        <v>450X250X12.5</v>
      </c>
      <c r="C262">
        <v>450</v>
      </c>
      <c r="D262">
        <v>250</v>
      </c>
      <c r="E262">
        <v>12.5</v>
      </c>
      <c r="F262">
        <v>18.8</v>
      </c>
      <c r="G262">
        <v>12.5</v>
      </c>
      <c r="H262">
        <v>167</v>
      </c>
      <c r="I262">
        <v>131</v>
      </c>
      <c r="J262">
        <v>1.37</v>
      </c>
      <c r="K262">
        <v>45026</v>
      </c>
      <c r="L262">
        <v>17973</v>
      </c>
      <c r="M262">
        <v>2001</v>
      </c>
      <c r="N262">
        <v>1438</v>
      </c>
      <c r="O262">
        <v>2458</v>
      </c>
      <c r="P262">
        <v>1631</v>
      </c>
      <c r="Q262">
        <v>16.399999999999999</v>
      </c>
      <c r="R262">
        <v>10.4</v>
      </c>
    </row>
    <row r="263" spans="1:18" x14ac:dyDescent="0.25">
      <c r="A263" t="str">
        <f t="shared" si="2"/>
        <v>RHS450X250X16</v>
      </c>
      <c r="B263" t="str">
        <f t="shared" si="3"/>
        <v>450X250X16</v>
      </c>
      <c r="C263">
        <v>450</v>
      </c>
      <c r="D263">
        <v>250</v>
      </c>
      <c r="E263">
        <v>16</v>
      </c>
      <c r="F263">
        <v>24</v>
      </c>
      <c r="G263">
        <v>16</v>
      </c>
      <c r="H263">
        <v>211</v>
      </c>
      <c r="I263">
        <v>166</v>
      </c>
      <c r="J263">
        <v>1.36</v>
      </c>
      <c r="K263">
        <v>55705</v>
      </c>
      <c r="L263">
        <v>22041</v>
      </c>
      <c r="M263">
        <v>2476</v>
      </c>
      <c r="N263">
        <v>1763</v>
      </c>
      <c r="O263">
        <v>3070</v>
      </c>
      <c r="P263">
        <v>2029</v>
      </c>
      <c r="Q263">
        <v>16.2</v>
      </c>
      <c r="R263">
        <v>10.199999999999999</v>
      </c>
    </row>
    <row r="264" spans="1:18" x14ac:dyDescent="0.25">
      <c r="A264" t="str">
        <f t="shared" si="2"/>
        <v>RHS500X300X10</v>
      </c>
      <c r="B264" t="str">
        <f t="shared" si="3"/>
        <v>500X300X10</v>
      </c>
      <c r="C264">
        <v>500</v>
      </c>
      <c r="D264">
        <v>300</v>
      </c>
      <c r="E264">
        <v>10</v>
      </c>
      <c r="F264">
        <v>15</v>
      </c>
      <c r="G264">
        <v>10</v>
      </c>
      <c r="H264">
        <v>155</v>
      </c>
      <c r="I264">
        <v>122</v>
      </c>
      <c r="J264">
        <v>1.57</v>
      </c>
      <c r="K264">
        <v>53762</v>
      </c>
      <c r="L264">
        <v>24439</v>
      </c>
      <c r="M264">
        <v>2150</v>
      </c>
      <c r="N264">
        <v>1629</v>
      </c>
      <c r="O264">
        <v>2595</v>
      </c>
      <c r="P264">
        <v>1826</v>
      </c>
      <c r="Q264">
        <v>18.600000000000001</v>
      </c>
      <c r="R264">
        <v>12.6</v>
      </c>
    </row>
    <row r="265" spans="1:18" x14ac:dyDescent="0.25">
      <c r="A265" t="str">
        <f t="shared" si="2"/>
        <v>RHS500X300X12</v>
      </c>
      <c r="B265" t="str">
        <f t="shared" si="3"/>
        <v>500X300X12</v>
      </c>
      <c r="C265">
        <v>500</v>
      </c>
      <c r="D265">
        <v>300</v>
      </c>
      <c r="E265">
        <v>12</v>
      </c>
      <c r="F265">
        <v>18</v>
      </c>
      <c r="G265">
        <v>12</v>
      </c>
      <c r="H265">
        <v>185</v>
      </c>
      <c r="I265">
        <v>145</v>
      </c>
      <c r="J265">
        <v>1.57</v>
      </c>
      <c r="K265">
        <v>63446</v>
      </c>
      <c r="L265">
        <v>28736</v>
      </c>
      <c r="M265">
        <v>2538</v>
      </c>
      <c r="N265">
        <v>1916</v>
      </c>
      <c r="O265">
        <v>3077</v>
      </c>
      <c r="P265">
        <v>2161</v>
      </c>
      <c r="Q265">
        <v>18.5</v>
      </c>
      <c r="R265">
        <v>12.5</v>
      </c>
    </row>
    <row r="266" spans="1:18" x14ac:dyDescent="0.25">
      <c r="A266" t="str">
        <f t="shared" si="2"/>
        <v>RHS500X300X12.5</v>
      </c>
      <c r="B266" t="str">
        <f t="shared" si="3"/>
        <v>500X300X12.5</v>
      </c>
      <c r="C266">
        <v>500</v>
      </c>
      <c r="D266">
        <v>300</v>
      </c>
      <c r="E266">
        <v>12.5</v>
      </c>
      <c r="F266">
        <v>18.8</v>
      </c>
      <c r="G266">
        <v>12.5</v>
      </c>
      <c r="H266">
        <v>192</v>
      </c>
      <c r="I266">
        <v>151</v>
      </c>
      <c r="J266">
        <v>1.57</v>
      </c>
      <c r="K266">
        <v>65813</v>
      </c>
      <c r="L266">
        <v>29780</v>
      </c>
      <c r="M266">
        <v>2633</v>
      </c>
      <c r="N266">
        <v>1985</v>
      </c>
      <c r="O266">
        <v>3196</v>
      </c>
      <c r="P266">
        <v>2244</v>
      </c>
      <c r="Q266">
        <v>18.5</v>
      </c>
      <c r="R266">
        <v>12.5</v>
      </c>
    </row>
    <row r="267" spans="1:18" x14ac:dyDescent="0.25">
      <c r="A267" t="str">
        <f t="shared" si="2"/>
        <v>RHS500X300X16</v>
      </c>
      <c r="B267" t="str">
        <f t="shared" si="3"/>
        <v>500X300X16</v>
      </c>
      <c r="C267">
        <v>500</v>
      </c>
      <c r="D267">
        <v>300</v>
      </c>
      <c r="E267">
        <v>16</v>
      </c>
      <c r="F267">
        <v>24</v>
      </c>
      <c r="G267">
        <v>16</v>
      </c>
      <c r="H267">
        <v>243</v>
      </c>
      <c r="I267">
        <v>191</v>
      </c>
      <c r="J267">
        <v>1.56</v>
      </c>
      <c r="K267">
        <v>81783</v>
      </c>
      <c r="L267">
        <v>36768</v>
      </c>
      <c r="M267">
        <v>3271</v>
      </c>
      <c r="N267">
        <v>2451</v>
      </c>
      <c r="O267">
        <v>4005</v>
      </c>
      <c r="P267">
        <v>2804</v>
      </c>
      <c r="Q267">
        <v>18.3</v>
      </c>
      <c r="R267">
        <v>12.3</v>
      </c>
    </row>
    <row r="268" spans="1:18" x14ac:dyDescent="0.25">
      <c r="A268" t="str">
        <f t="shared" si="2"/>
        <v>RHS500X300X20</v>
      </c>
      <c r="B268" t="str">
        <f t="shared" si="3"/>
        <v>500X300X20</v>
      </c>
      <c r="C268">
        <v>500</v>
      </c>
      <c r="D268">
        <v>300</v>
      </c>
      <c r="E268">
        <v>20</v>
      </c>
      <c r="F268">
        <v>30</v>
      </c>
      <c r="G268">
        <v>20</v>
      </c>
      <c r="H268">
        <v>300</v>
      </c>
      <c r="I268">
        <v>235</v>
      </c>
      <c r="J268">
        <v>1.55</v>
      </c>
      <c r="K268">
        <v>98777</v>
      </c>
      <c r="L268">
        <v>44078</v>
      </c>
      <c r="M268">
        <v>3951</v>
      </c>
      <c r="N268">
        <v>2939</v>
      </c>
      <c r="O268">
        <v>4885</v>
      </c>
      <c r="P268">
        <v>3408</v>
      </c>
      <c r="Q268">
        <v>18.2</v>
      </c>
      <c r="R268">
        <v>12.1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1:W136"/>
  <sheetViews>
    <sheetView workbookViewId="0"/>
  </sheetViews>
  <sheetFormatPr defaultRowHeight="15" x14ac:dyDescent="0.25"/>
  <sheetData>
    <row r="1" spans="1:21" x14ac:dyDescent="0.25">
      <c r="A1" t="str">
        <f t="shared" ref="A1:A136" si="0">B1&amp;C1&amp;D1&amp;E1&amp;F1&amp;G1</f>
        <v>L20X20X3</v>
      </c>
      <c r="B1" t="s">
        <v>9</v>
      </c>
      <c r="C1">
        <v>20</v>
      </c>
      <c r="D1" t="s">
        <v>10</v>
      </c>
      <c r="E1">
        <v>20</v>
      </c>
      <c r="F1" t="s">
        <v>10</v>
      </c>
      <c r="G1">
        <v>3</v>
      </c>
      <c r="H1">
        <v>0.879</v>
      </c>
      <c r="I1">
        <v>20</v>
      </c>
      <c r="J1">
        <f t="shared" ref="J1:J103" si="1">I1</f>
        <v>20</v>
      </c>
      <c r="K1">
        <v>3</v>
      </c>
      <c r="L1">
        <v>3.5</v>
      </c>
      <c r="M1">
        <v>2</v>
      </c>
      <c r="N1">
        <v>1.1200000000000001</v>
      </c>
      <c r="O1">
        <v>0.59599999999999997</v>
      </c>
      <c r="P1">
        <f t="shared" ref="P1:P103" si="2">O1</f>
        <v>0.59599999999999997</v>
      </c>
      <c r="Q1">
        <v>1.41</v>
      </c>
      <c r="R1">
        <v>0.84299999999999997</v>
      </c>
      <c r="S1">
        <v>0.7</v>
      </c>
      <c r="T1">
        <v>7.6999999999999999E-2</v>
      </c>
      <c r="U1">
        <v>87.4</v>
      </c>
    </row>
    <row r="2" spans="1:21" x14ac:dyDescent="0.25">
      <c r="A2" t="str">
        <f t="shared" si="0"/>
        <v>L25X25X3</v>
      </c>
      <c r="B2" t="s">
        <v>9</v>
      </c>
      <c r="C2">
        <v>25</v>
      </c>
      <c r="D2" t="s">
        <v>10</v>
      </c>
      <c r="E2">
        <v>25</v>
      </c>
      <c r="F2" t="s">
        <v>10</v>
      </c>
      <c r="G2">
        <v>3</v>
      </c>
      <c r="H2">
        <v>1.1100000000000001</v>
      </c>
      <c r="I2">
        <v>25</v>
      </c>
      <c r="J2">
        <f t="shared" si="1"/>
        <v>25</v>
      </c>
      <c r="K2">
        <v>3</v>
      </c>
      <c r="L2">
        <v>3.5</v>
      </c>
      <c r="M2">
        <v>2</v>
      </c>
      <c r="N2">
        <v>1.42</v>
      </c>
      <c r="O2">
        <v>0.72099999999999997</v>
      </c>
      <c r="P2">
        <f t="shared" si="2"/>
        <v>0.72099999999999997</v>
      </c>
      <c r="Q2">
        <v>1.77</v>
      </c>
      <c r="R2">
        <v>1.02</v>
      </c>
      <c r="S2">
        <v>0.877</v>
      </c>
      <c r="T2">
        <v>9.7000000000000003E-2</v>
      </c>
      <c r="U2">
        <v>86.88</v>
      </c>
    </row>
    <row r="3" spans="1:21" x14ac:dyDescent="0.25">
      <c r="A3" t="str">
        <f t="shared" si="0"/>
        <v>L25X25X4</v>
      </c>
      <c r="B3" t="s">
        <v>9</v>
      </c>
      <c r="C3">
        <v>25</v>
      </c>
      <c r="D3" t="s">
        <v>10</v>
      </c>
      <c r="E3">
        <v>25</v>
      </c>
      <c r="F3" t="s">
        <v>10</v>
      </c>
      <c r="G3">
        <v>4</v>
      </c>
      <c r="H3">
        <v>1.45</v>
      </c>
      <c r="I3">
        <v>25</v>
      </c>
      <c r="J3">
        <f t="shared" si="1"/>
        <v>25</v>
      </c>
      <c r="K3">
        <v>4</v>
      </c>
      <c r="L3">
        <v>3.5</v>
      </c>
      <c r="M3">
        <v>2</v>
      </c>
      <c r="N3">
        <v>1.85</v>
      </c>
      <c r="O3">
        <v>0.76100000000000001</v>
      </c>
      <c r="P3">
        <f t="shared" si="2"/>
        <v>0.76100000000000001</v>
      </c>
      <c r="Q3">
        <v>1.77</v>
      </c>
      <c r="R3">
        <v>1.08</v>
      </c>
      <c r="S3">
        <v>0.89200000000000002</v>
      </c>
      <c r="T3">
        <v>9.7000000000000003E-2</v>
      </c>
      <c r="U3">
        <v>66.67</v>
      </c>
    </row>
    <row r="4" spans="1:21" x14ac:dyDescent="0.25">
      <c r="A4" t="str">
        <f t="shared" si="0"/>
        <v>L30X30X3</v>
      </c>
      <c r="B4" t="s">
        <v>9</v>
      </c>
      <c r="C4">
        <v>30</v>
      </c>
      <c r="D4" t="s">
        <v>10</v>
      </c>
      <c r="E4">
        <v>30</v>
      </c>
      <c r="F4" t="s">
        <v>10</v>
      </c>
      <c r="G4">
        <v>3</v>
      </c>
      <c r="H4">
        <v>1.36</v>
      </c>
      <c r="I4">
        <v>30</v>
      </c>
      <c r="J4">
        <f t="shared" si="1"/>
        <v>30</v>
      </c>
      <c r="K4">
        <v>3</v>
      </c>
      <c r="L4">
        <v>5</v>
      </c>
      <c r="M4">
        <v>2.5</v>
      </c>
      <c r="N4">
        <v>1.74</v>
      </c>
      <c r="O4">
        <v>0.83499999999999996</v>
      </c>
      <c r="P4">
        <f t="shared" si="2"/>
        <v>0.83499999999999996</v>
      </c>
      <c r="Q4">
        <v>2.12</v>
      </c>
      <c r="R4">
        <v>1.18</v>
      </c>
      <c r="S4">
        <v>1.05</v>
      </c>
      <c r="T4">
        <v>0.11600000000000001</v>
      </c>
      <c r="U4">
        <v>84.87</v>
      </c>
    </row>
    <row r="5" spans="1:21" x14ac:dyDescent="0.25">
      <c r="A5" t="str">
        <f t="shared" si="0"/>
        <v>L30X30X4</v>
      </c>
      <c r="B5" t="s">
        <v>9</v>
      </c>
      <c r="C5">
        <v>30</v>
      </c>
      <c r="D5" t="s">
        <v>10</v>
      </c>
      <c r="E5">
        <v>30</v>
      </c>
      <c r="F5" t="s">
        <v>10</v>
      </c>
      <c r="G5">
        <v>4</v>
      </c>
      <c r="H5">
        <v>1.78</v>
      </c>
      <c r="I5">
        <v>30</v>
      </c>
      <c r="J5">
        <f t="shared" si="1"/>
        <v>30</v>
      </c>
      <c r="K5">
        <v>4</v>
      </c>
      <c r="L5">
        <v>5</v>
      </c>
      <c r="M5">
        <v>2.5</v>
      </c>
      <c r="N5">
        <v>2.27</v>
      </c>
      <c r="O5">
        <v>0.878</v>
      </c>
      <c r="P5">
        <f t="shared" si="2"/>
        <v>0.878</v>
      </c>
      <c r="Q5">
        <v>2.12</v>
      </c>
      <c r="R5">
        <v>1.24</v>
      </c>
      <c r="S5">
        <v>1.06</v>
      </c>
      <c r="T5">
        <v>0.11600000000000001</v>
      </c>
      <c r="U5">
        <v>65.02</v>
      </c>
    </row>
    <row r="6" spans="1:21" x14ac:dyDescent="0.25">
      <c r="A6" t="str">
        <f t="shared" si="0"/>
        <v>L35X35X4</v>
      </c>
      <c r="B6" t="s">
        <v>9</v>
      </c>
      <c r="C6">
        <v>35</v>
      </c>
      <c r="D6" t="s">
        <v>10</v>
      </c>
      <c r="E6">
        <v>35</v>
      </c>
      <c r="F6" t="s">
        <v>10</v>
      </c>
      <c r="G6">
        <v>4</v>
      </c>
      <c r="H6">
        <v>2.09</v>
      </c>
      <c r="I6">
        <v>35</v>
      </c>
      <c r="J6">
        <f t="shared" si="1"/>
        <v>35</v>
      </c>
      <c r="K6">
        <v>4</v>
      </c>
      <c r="L6">
        <v>5</v>
      </c>
      <c r="M6">
        <v>2.5</v>
      </c>
      <c r="N6">
        <v>2.67</v>
      </c>
      <c r="O6">
        <v>1</v>
      </c>
      <c r="P6">
        <f t="shared" si="2"/>
        <v>1</v>
      </c>
      <c r="Q6">
        <v>2.4700000000000002</v>
      </c>
      <c r="R6">
        <v>1.42</v>
      </c>
      <c r="S6">
        <v>1.24</v>
      </c>
      <c r="T6">
        <v>0.13600000000000001</v>
      </c>
      <c r="U6">
        <v>64.819999999999993</v>
      </c>
    </row>
    <row r="7" spans="1:21" x14ac:dyDescent="0.25">
      <c r="A7" t="str">
        <f t="shared" si="0"/>
        <v>L40X40X4</v>
      </c>
      <c r="B7" t="s">
        <v>9</v>
      </c>
      <c r="C7">
        <v>40</v>
      </c>
      <c r="D7" t="s">
        <v>10</v>
      </c>
      <c r="E7">
        <v>40</v>
      </c>
      <c r="F7" t="s">
        <v>10</v>
      </c>
      <c r="G7">
        <v>4</v>
      </c>
      <c r="H7">
        <v>2.42</v>
      </c>
      <c r="I7">
        <v>40</v>
      </c>
      <c r="J7">
        <f t="shared" si="1"/>
        <v>40</v>
      </c>
      <c r="K7">
        <v>4</v>
      </c>
      <c r="L7">
        <v>6</v>
      </c>
      <c r="M7">
        <v>3</v>
      </c>
      <c r="N7">
        <v>3.08</v>
      </c>
      <c r="O7">
        <v>1.1200000000000001</v>
      </c>
      <c r="P7">
        <f t="shared" si="2"/>
        <v>1.1200000000000001</v>
      </c>
      <c r="Q7">
        <v>2.83</v>
      </c>
      <c r="R7">
        <v>1.58</v>
      </c>
      <c r="S7">
        <v>1.4</v>
      </c>
      <c r="T7">
        <v>0.155</v>
      </c>
      <c r="U7">
        <v>64.069999999999993</v>
      </c>
    </row>
    <row r="8" spans="1:21" x14ac:dyDescent="0.25">
      <c r="A8" t="str">
        <f t="shared" si="0"/>
        <v>L40X40X5</v>
      </c>
      <c r="B8" t="s">
        <v>9</v>
      </c>
      <c r="C8">
        <v>40</v>
      </c>
      <c r="D8" t="s">
        <v>10</v>
      </c>
      <c r="E8">
        <v>40</v>
      </c>
      <c r="F8" t="s">
        <v>10</v>
      </c>
      <c r="G8">
        <v>5</v>
      </c>
      <c r="H8">
        <v>2.97</v>
      </c>
      <c r="I8">
        <v>40</v>
      </c>
      <c r="J8">
        <f t="shared" si="1"/>
        <v>40</v>
      </c>
      <c r="K8">
        <v>5</v>
      </c>
      <c r="L8">
        <v>6</v>
      </c>
      <c r="M8">
        <v>3</v>
      </c>
      <c r="N8">
        <v>3.79</v>
      </c>
      <c r="O8">
        <v>1.1599999999999999</v>
      </c>
      <c r="P8">
        <f t="shared" si="2"/>
        <v>1.1599999999999999</v>
      </c>
      <c r="Q8">
        <v>2.83</v>
      </c>
      <c r="R8">
        <v>1.64</v>
      </c>
      <c r="S8">
        <v>1.41</v>
      </c>
      <c r="T8">
        <v>0.155</v>
      </c>
      <c r="U8">
        <v>52.07</v>
      </c>
    </row>
    <row r="9" spans="1:21" x14ac:dyDescent="0.25">
      <c r="A9" t="str">
        <f t="shared" si="0"/>
        <v>L45X45X4</v>
      </c>
      <c r="B9" t="s">
        <v>9</v>
      </c>
      <c r="C9">
        <v>45</v>
      </c>
      <c r="D9" t="s">
        <v>10</v>
      </c>
      <c r="E9">
        <v>45</v>
      </c>
      <c r="F9" t="s">
        <v>10</v>
      </c>
      <c r="G9">
        <v>4</v>
      </c>
      <c r="H9">
        <v>2.74</v>
      </c>
      <c r="I9">
        <v>45</v>
      </c>
      <c r="J9">
        <f t="shared" si="1"/>
        <v>45</v>
      </c>
      <c r="K9">
        <v>4</v>
      </c>
      <c r="L9">
        <v>7</v>
      </c>
      <c r="M9">
        <v>3.5</v>
      </c>
      <c r="N9">
        <v>3.49</v>
      </c>
      <c r="O9">
        <v>1.23</v>
      </c>
      <c r="P9">
        <f t="shared" si="2"/>
        <v>1.23</v>
      </c>
      <c r="Q9">
        <v>3.18</v>
      </c>
      <c r="R9">
        <v>1.75</v>
      </c>
      <c r="S9">
        <v>1.57</v>
      </c>
      <c r="T9">
        <v>0.17399999999999999</v>
      </c>
      <c r="U9">
        <v>63.46</v>
      </c>
    </row>
    <row r="10" spans="1:21" x14ac:dyDescent="0.25">
      <c r="A10" t="str">
        <f t="shared" si="0"/>
        <v>L45X45X4.5</v>
      </c>
      <c r="B10" t="s">
        <v>9</v>
      </c>
      <c r="C10">
        <v>45</v>
      </c>
      <c r="D10" t="s">
        <v>10</v>
      </c>
      <c r="E10">
        <v>45</v>
      </c>
      <c r="F10" t="s">
        <v>10</v>
      </c>
      <c r="G10">
        <v>4.5</v>
      </c>
      <c r="H10">
        <v>3.06</v>
      </c>
      <c r="I10">
        <v>45</v>
      </c>
      <c r="J10">
        <f t="shared" si="1"/>
        <v>45</v>
      </c>
      <c r="K10">
        <v>4.5</v>
      </c>
      <c r="L10">
        <v>7</v>
      </c>
      <c r="M10">
        <v>3.5</v>
      </c>
      <c r="N10">
        <v>3.9</v>
      </c>
      <c r="O10">
        <v>1.26</v>
      </c>
      <c r="P10">
        <f t="shared" si="2"/>
        <v>1.26</v>
      </c>
      <c r="Q10">
        <v>3.18</v>
      </c>
      <c r="R10">
        <v>1.78</v>
      </c>
      <c r="S10">
        <v>1.58</v>
      </c>
      <c r="T10">
        <v>0.17399999999999999</v>
      </c>
      <c r="U10">
        <v>56.83</v>
      </c>
    </row>
    <row r="11" spans="1:21" x14ac:dyDescent="0.25">
      <c r="A11" t="str">
        <f t="shared" si="0"/>
        <v>L45X45X5</v>
      </c>
      <c r="B11" t="s">
        <v>9</v>
      </c>
      <c r="C11">
        <v>45</v>
      </c>
      <c r="D11" t="s">
        <v>10</v>
      </c>
      <c r="E11">
        <v>45</v>
      </c>
      <c r="F11" t="s">
        <v>10</v>
      </c>
      <c r="G11">
        <v>5</v>
      </c>
      <c r="H11">
        <v>3.38</v>
      </c>
      <c r="I11">
        <v>45</v>
      </c>
      <c r="J11">
        <f t="shared" si="1"/>
        <v>45</v>
      </c>
      <c r="K11">
        <v>5</v>
      </c>
      <c r="L11">
        <v>7</v>
      </c>
      <c r="M11">
        <v>3.5</v>
      </c>
      <c r="N11">
        <v>4.3</v>
      </c>
      <c r="O11">
        <v>1.28</v>
      </c>
      <c r="P11">
        <f t="shared" si="2"/>
        <v>1.28</v>
      </c>
      <c r="Q11">
        <v>3.18</v>
      </c>
      <c r="R11">
        <v>1.81</v>
      </c>
      <c r="S11">
        <v>1.58</v>
      </c>
      <c r="T11">
        <v>0.17399999999999999</v>
      </c>
      <c r="U11">
        <v>51.51</v>
      </c>
    </row>
    <row r="12" spans="1:21" x14ac:dyDescent="0.25">
      <c r="A12" t="str">
        <f t="shared" si="0"/>
        <v>L50X50X4</v>
      </c>
      <c r="B12" t="s">
        <v>9</v>
      </c>
      <c r="C12">
        <v>50</v>
      </c>
      <c r="D12" t="s">
        <v>10</v>
      </c>
      <c r="E12">
        <v>50</v>
      </c>
      <c r="F12" t="s">
        <v>10</v>
      </c>
      <c r="G12">
        <v>4</v>
      </c>
      <c r="H12">
        <v>3.06</v>
      </c>
      <c r="I12">
        <v>50</v>
      </c>
      <c r="J12">
        <f t="shared" si="1"/>
        <v>50</v>
      </c>
      <c r="K12">
        <v>4</v>
      </c>
      <c r="L12">
        <v>7</v>
      </c>
      <c r="M12">
        <v>3.5</v>
      </c>
      <c r="N12">
        <v>3.89</v>
      </c>
      <c r="O12">
        <v>1.36</v>
      </c>
      <c r="P12">
        <f t="shared" si="2"/>
        <v>1.36</v>
      </c>
      <c r="Q12">
        <v>3.54</v>
      </c>
      <c r="R12">
        <v>1.92</v>
      </c>
      <c r="S12">
        <v>1.75</v>
      </c>
      <c r="T12">
        <v>0.19400000000000001</v>
      </c>
      <c r="U12">
        <v>63.49</v>
      </c>
    </row>
    <row r="13" spans="1:21" x14ac:dyDescent="0.25">
      <c r="A13" t="str">
        <f t="shared" si="0"/>
        <v>L50X50X5</v>
      </c>
      <c r="B13" t="s">
        <v>9</v>
      </c>
      <c r="C13">
        <v>50</v>
      </c>
      <c r="D13" t="s">
        <v>10</v>
      </c>
      <c r="E13">
        <v>50</v>
      </c>
      <c r="F13" t="s">
        <v>10</v>
      </c>
      <c r="G13">
        <v>5</v>
      </c>
      <c r="H13">
        <v>3.77</v>
      </c>
      <c r="I13">
        <v>50</v>
      </c>
      <c r="J13">
        <f t="shared" si="1"/>
        <v>50</v>
      </c>
      <c r="K13">
        <v>5</v>
      </c>
      <c r="L13">
        <v>7</v>
      </c>
      <c r="M13">
        <v>3.5</v>
      </c>
      <c r="N13">
        <v>4.8</v>
      </c>
      <c r="O13">
        <v>1.4</v>
      </c>
      <c r="P13">
        <f t="shared" si="2"/>
        <v>1.4</v>
      </c>
      <c r="Q13">
        <v>3.54</v>
      </c>
      <c r="R13">
        <v>1.99</v>
      </c>
      <c r="S13">
        <v>1.76</v>
      </c>
      <c r="T13">
        <v>0.19400000000000001</v>
      </c>
      <c r="U13">
        <v>51.46</v>
      </c>
    </row>
    <row r="14" spans="1:21" x14ac:dyDescent="0.25">
      <c r="A14" t="str">
        <f t="shared" si="0"/>
        <v>L50X50X6</v>
      </c>
      <c r="B14" t="s">
        <v>9</v>
      </c>
      <c r="C14">
        <v>50</v>
      </c>
      <c r="D14" t="s">
        <v>10</v>
      </c>
      <c r="E14">
        <v>50</v>
      </c>
      <c r="F14" t="s">
        <v>10</v>
      </c>
      <c r="G14">
        <v>6</v>
      </c>
      <c r="H14">
        <v>4.47</v>
      </c>
      <c r="I14">
        <v>50</v>
      </c>
      <c r="J14">
        <f t="shared" si="1"/>
        <v>50</v>
      </c>
      <c r="K14">
        <v>6</v>
      </c>
      <c r="L14">
        <v>7</v>
      </c>
      <c r="M14">
        <v>3.5</v>
      </c>
      <c r="N14">
        <v>5.69</v>
      </c>
      <c r="O14">
        <v>1.45</v>
      </c>
      <c r="P14">
        <f t="shared" si="2"/>
        <v>1.45</v>
      </c>
      <c r="Q14">
        <v>3.54</v>
      </c>
      <c r="R14">
        <v>2.04</v>
      </c>
      <c r="S14">
        <v>1.77</v>
      </c>
      <c r="T14">
        <v>0.19400000000000001</v>
      </c>
      <c r="U14">
        <v>43.41</v>
      </c>
    </row>
    <row r="15" spans="1:21" x14ac:dyDescent="0.25">
      <c r="A15" t="str">
        <f t="shared" si="0"/>
        <v>L50X50X7</v>
      </c>
      <c r="B15" t="s">
        <v>9</v>
      </c>
      <c r="C15">
        <v>50</v>
      </c>
      <c r="D15" t="s">
        <v>10</v>
      </c>
      <c r="E15">
        <v>50</v>
      </c>
      <c r="F15" t="s">
        <v>10</v>
      </c>
      <c r="G15">
        <v>7</v>
      </c>
      <c r="H15">
        <v>5.15</v>
      </c>
      <c r="I15">
        <v>50</v>
      </c>
      <c r="J15">
        <f t="shared" si="1"/>
        <v>50</v>
      </c>
      <c r="K15">
        <v>7</v>
      </c>
      <c r="L15">
        <v>7</v>
      </c>
      <c r="M15">
        <v>3.5</v>
      </c>
      <c r="N15">
        <v>6.56</v>
      </c>
      <c r="O15">
        <v>1.49</v>
      </c>
      <c r="P15">
        <f t="shared" si="2"/>
        <v>1.49</v>
      </c>
      <c r="Q15">
        <v>3.54</v>
      </c>
      <c r="R15">
        <v>2.1</v>
      </c>
      <c r="S15">
        <v>1.78</v>
      </c>
      <c r="T15">
        <v>0.19400000000000001</v>
      </c>
      <c r="U15">
        <v>37.659999999999997</v>
      </c>
    </row>
    <row r="16" spans="1:21" x14ac:dyDescent="0.25">
      <c r="A16" t="str">
        <f t="shared" si="0"/>
        <v>L55X55X5</v>
      </c>
      <c r="B16" t="s">
        <v>9</v>
      </c>
      <c r="C16">
        <v>55</v>
      </c>
      <c r="D16" t="s">
        <v>10</v>
      </c>
      <c r="E16">
        <v>55</v>
      </c>
      <c r="F16" t="s">
        <v>10</v>
      </c>
      <c r="G16">
        <v>5</v>
      </c>
      <c r="H16">
        <v>4.18</v>
      </c>
      <c r="I16">
        <v>55</v>
      </c>
      <c r="J16">
        <f t="shared" si="1"/>
        <v>55</v>
      </c>
      <c r="K16">
        <v>5</v>
      </c>
      <c r="L16">
        <v>8</v>
      </c>
      <c r="M16">
        <v>4</v>
      </c>
      <c r="N16">
        <v>5.32</v>
      </c>
      <c r="O16">
        <v>1.52</v>
      </c>
      <c r="P16">
        <f t="shared" si="2"/>
        <v>1.52</v>
      </c>
      <c r="Q16">
        <v>3.89</v>
      </c>
      <c r="R16">
        <v>2.15</v>
      </c>
      <c r="S16">
        <v>1.93</v>
      </c>
      <c r="T16">
        <v>0.21299999999999999</v>
      </c>
      <c r="U16">
        <v>51.05</v>
      </c>
    </row>
    <row r="17" spans="1:21" x14ac:dyDescent="0.25">
      <c r="A17" t="str">
        <f t="shared" si="0"/>
        <v>L55X55X6</v>
      </c>
      <c r="B17" t="s">
        <v>9</v>
      </c>
      <c r="C17">
        <v>55</v>
      </c>
      <c r="D17" t="s">
        <v>10</v>
      </c>
      <c r="E17">
        <v>55</v>
      </c>
      <c r="F17" t="s">
        <v>10</v>
      </c>
      <c r="G17">
        <v>6</v>
      </c>
      <c r="H17">
        <v>4.95</v>
      </c>
      <c r="I17">
        <v>55</v>
      </c>
      <c r="J17">
        <f t="shared" si="1"/>
        <v>55</v>
      </c>
      <c r="K17">
        <v>6</v>
      </c>
      <c r="L17">
        <v>8</v>
      </c>
      <c r="M17">
        <v>4</v>
      </c>
      <c r="N17">
        <v>6.31</v>
      </c>
      <c r="O17">
        <v>1.56</v>
      </c>
      <c r="P17">
        <f t="shared" si="2"/>
        <v>1.56</v>
      </c>
      <c r="Q17">
        <v>3.89</v>
      </c>
      <c r="R17">
        <v>2.21</v>
      </c>
      <c r="S17">
        <v>1.94</v>
      </c>
      <c r="T17">
        <v>0.21299999999999999</v>
      </c>
      <c r="U17">
        <v>43.04</v>
      </c>
    </row>
    <row r="18" spans="1:21" x14ac:dyDescent="0.25">
      <c r="A18" t="str">
        <f t="shared" si="0"/>
        <v>L60X60X4</v>
      </c>
      <c r="B18" t="s">
        <v>9</v>
      </c>
      <c r="C18">
        <v>60</v>
      </c>
      <c r="D18" t="s">
        <v>10</v>
      </c>
      <c r="E18">
        <v>60</v>
      </c>
      <c r="F18" t="s">
        <v>10</v>
      </c>
      <c r="G18">
        <v>4</v>
      </c>
      <c r="H18">
        <v>3.7</v>
      </c>
      <c r="I18">
        <v>60</v>
      </c>
      <c r="J18">
        <f t="shared" si="1"/>
        <v>60</v>
      </c>
      <c r="K18">
        <v>4</v>
      </c>
      <c r="L18">
        <v>8</v>
      </c>
      <c r="M18">
        <v>4</v>
      </c>
      <c r="N18">
        <v>4.71</v>
      </c>
      <c r="O18">
        <v>1.6</v>
      </c>
      <c r="P18">
        <f t="shared" si="2"/>
        <v>1.6</v>
      </c>
      <c r="Q18">
        <v>4.24</v>
      </c>
      <c r="R18">
        <v>2.2599999999999998</v>
      </c>
      <c r="S18">
        <v>2.1</v>
      </c>
      <c r="T18">
        <v>0.23300000000000001</v>
      </c>
      <c r="U18">
        <v>63.07</v>
      </c>
    </row>
    <row r="19" spans="1:21" x14ac:dyDescent="0.25">
      <c r="A19" t="str">
        <f t="shared" si="0"/>
        <v>L60X60X5</v>
      </c>
      <c r="B19" t="s">
        <v>9</v>
      </c>
      <c r="C19">
        <v>60</v>
      </c>
      <c r="D19" t="s">
        <v>10</v>
      </c>
      <c r="E19">
        <v>60</v>
      </c>
      <c r="F19" t="s">
        <v>10</v>
      </c>
      <c r="G19">
        <v>5</v>
      </c>
      <c r="H19">
        <v>4.57</v>
      </c>
      <c r="I19">
        <v>60</v>
      </c>
      <c r="J19">
        <f t="shared" si="1"/>
        <v>60</v>
      </c>
      <c r="K19">
        <v>5</v>
      </c>
      <c r="L19">
        <v>8</v>
      </c>
      <c r="M19">
        <v>4</v>
      </c>
      <c r="N19">
        <v>5.82</v>
      </c>
      <c r="O19">
        <v>1.64</v>
      </c>
      <c r="P19">
        <f t="shared" si="2"/>
        <v>1.64</v>
      </c>
      <c r="Q19">
        <v>4.24</v>
      </c>
      <c r="R19">
        <v>2.3199999999999998</v>
      </c>
      <c r="S19">
        <v>2.11</v>
      </c>
      <c r="T19">
        <v>0.23300000000000001</v>
      </c>
      <c r="U19">
        <v>51.04</v>
      </c>
    </row>
    <row r="20" spans="1:21" x14ac:dyDescent="0.25">
      <c r="A20" t="str">
        <f t="shared" si="0"/>
        <v>L60X60X6</v>
      </c>
      <c r="B20" t="s">
        <v>9</v>
      </c>
      <c r="C20">
        <v>60</v>
      </c>
      <c r="D20" t="s">
        <v>10</v>
      </c>
      <c r="E20">
        <v>60</v>
      </c>
      <c r="F20" t="s">
        <v>10</v>
      </c>
      <c r="G20">
        <v>6</v>
      </c>
      <c r="H20">
        <v>5.42</v>
      </c>
      <c r="I20">
        <v>60</v>
      </c>
      <c r="J20">
        <f t="shared" si="1"/>
        <v>60</v>
      </c>
      <c r="K20">
        <v>6</v>
      </c>
      <c r="L20">
        <v>8</v>
      </c>
      <c r="M20">
        <v>4</v>
      </c>
      <c r="N20">
        <v>6.91</v>
      </c>
      <c r="O20">
        <v>1.69</v>
      </c>
      <c r="P20">
        <f t="shared" si="2"/>
        <v>1.69</v>
      </c>
      <c r="Q20">
        <v>4.24</v>
      </c>
      <c r="R20">
        <v>2.39</v>
      </c>
      <c r="S20">
        <v>2.11</v>
      </c>
      <c r="T20">
        <v>0.23300000000000001</v>
      </c>
      <c r="U20">
        <v>42.99</v>
      </c>
    </row>
    <row r="21" spans="1:21" x14ac:dyDescent="0.25">
      <c r="A21" t="str">
        <f t="shared" si="0"/>
        <v>L60X60X8</v>
      </c>
      <c r="B21" t="s">
        <v>9</v>
      </c>
      <c r="C21">
        <v>60</v>
      </c>
      <c r="D21" t="s">
        <v>10</v>
      </c>
      <c r="E21">
        <v>60</v>
      </c>
      <c r="F21" t="s">
        <v>10</v>
      </c>
      <c r="G21">
        <v>8</v>
      </c>
      <c r="H21">
        <v>7.09</v>
      </c>
      <c r="I21">
        <v>60</v>
      </c>
      <c r="J21">
        <f t="shared" si="1"/>
        <v>60</v>
      </c>
      <c r="K21">
        <v>8</v>
      </c>
      <c r="L21">
        <v>8</v>
      </c>
      <c r="M21">
        <v>4</v>
      </c>
      <c r="N21">
        <v>9.0299999999999994</v>
      </c>
      <c r="O21">
        <v>1.77</v>
      </c>
      <c r="P21">
        <f t="shared" si="2"/>
        <v>1.77</v>
      </c>
      <c r="Q21">
        <v>4.24</v>
      </c>
      <c r="R21">
        <v>2.5</v>
      </c>
      <c r="S21">
        <v>2.14</v>
      </c>
      <c r="T21">
        <v>0.23300000000000001</v>
      </c>
      <c r="U21">
        <v>32.89</v>
      </c>
    </row>
    <row r="22" spans="1:21" x14ac:dyDescent="0.25">
      <c r="A22" t="str">
        <f t="shared" si="0"/>
        <v>L65X65X6</v>
      </c>
      <c r="B22" t="s">
        <v>9</v>
      </c>
      <c r="C22">
        <v>65</v>
      </c>
      <c r="D22" t="s">
        <v>10</v>
      </c>
      <c r="E22">
        <v>65</v>
      </c>
      <c r="F22" t="s">
        <v>10</v>
      </c>
      <c r="G22">
        <v>6</v>
      </c>
      <c r="H22">
        <v>5.91</v>
      </c>
      <c r="I22">
        <v>65</v>
      </c>
      <c r="J22">
        <f t="shared" si="1"/>
        <v>65</v>
      </c>
      <c r="K22">
        <v>6</v>
      </c>
      <c r="L22">
        <v>9</v>
      </c>
      <c r="M22">
        <v>4.5</v>
      </c>
      <c r="N22">
        <v>7.53</v>
      </c>
      <c r="O22">
        <v>1.8</v>
      </c>
      <c r="P22">
        <f t="shared" si="2"/>
        <v>1.8</v>
      </c>
      <c r="Q22">
        <v>4.5999999999999996</v>
      </c>
      <c r="R22">
        <v>2.5499999999999998</v>
      </c>
      <c r="S22">
        <v>2.2799999999999998</v>
      </c>
      <c r="T22">
        <v>0.252</v>
      </c>
      <c r="U22">
        <v>42.7</v>
      </c>
    </row>
    <row r="23" spans="1:21" x14ac:dyDescent="0.25">
      <c r="A23" t="str">
        <f t="shared" si="0"/>
        <v>L65X65X7</v>
      </c>
      <c r="B23" t="s">
        <v>9</v>
      </c>
      <c r="C23">
        <v>65</v>
      </c>
      <c r="D23" t="s">
        <v>10</v>
      </c>
      <c r="E23">
        <v>65</v>
      </c>
      <c r="F23" t="s">
        <v>10</v>
      </c>
      <c r="G23">
        <v>7</v>
      </c>
      <c r="H23">
        <v>6.83</v>
      </c>
      <c r="I23">
        <v>65</v>
      </c>
      <c r="J23">
        <f t="shared" si="1"/>
        <v>65</v>
      </c>
      <c r="K23">
        <v>7</v>
      </c>
      <c r="L23">
        <v>9</v>
      </c>
      <c r="M23">
        <v>4.5</v>
      </c>
      <c r="N23">
        <v>8.6999999999999993</v>
      </c>
      <c r="O23">
        <v>1.85</v>
      </c>
      <c r="P23">
        <f t="shared" si="2"/>
        <v>1.85</v>
      </c>
      <c r="Q23">
        <v>4.5999999999999996</v>
      </c>
      <c r="R23">
        <v>2.61</v>
      </c>
      <c r="S23">
        <v>2.29</v>
      </c>
      <c r="T23">
        <v>0.252</v>
      </c>
      <c r="U23">
        <v>36.950000000000003</v>
      </c>
    </row>
    <row r="24" spans="1:21" x14ac:dyDescent="0.25">
      <c r="A24" t="str">
        <f t="shared" si="0"/>
        <v>L65X65X8</v>
      </c>
      <c r="B24" t="s">
        <v>9</v>
      </c>
      <c r="C24">
        <v>65</v>
      </c>
      <c r="D24" t="s">
        <v>10</v>
      </c>
      <c r="E24">
        <v>65</v>
      </c>
      <c r="F24" t="s">
        <v>10</v>
      </c>
      <c r="G24">
        <v>8</v>
      </c>
      <c r="H24">
        <v>7.73</v>
      </c>
      <c r="I24">
        <v>65</v>
      </c>
      <c r="J24">
        <f t="shared" si="1"/>
        <v>65</v>
      </c>
      <c r="K24">
        <v>8</v>
      </c>
      <c r="L24">
        <v>9</v>
      </c>
      <c r="M24">
        <v>4.5</v>
      </c>
      <c r="N24">
        <v>9.85</v>
      </c>
      <c r="O24">
        <v>1.89</v>
      </c>
      <c r="P24">
        <f t="shared" si="2"/>
        <v>1.89</v>
      </c>
      <c r="Q24">
        <v>4.5999999999999996</v>
      </c>
      <c r="R24">
        <v>2.67</v>
      </c>
      <c r="S24">
        <v>2.31</v>
      </c>
      <c r="T24">
        <v>0.252</v>
      </c>
      <c r="U24">
        <v>32.64</v>
      </c>
    </row>
    <row r="25" spans="1:21" x14ac:dyDescent="0.25">
      <c r="A25" t="str">
        <f t="shared" si="0"/>
        <v>L70X70X6</v>
      </c>
      <c r="B25" t="s">
        <v>9</v>
      </c>
      <c r="C25">
        <v>70</v>
      </c>
      <c r="D25" t="s">
        <v>10</v>
      </c>
      <c r="E25">
        <v>70</v>
      </c>
      <c r="F25" t="s">
        <v>10</v>
      </c>
      <c r="G25">
        <v>6</v>
      </c>
      <c r="H25">
        <v>6.38</v>
      </c>
      <c r="I25">
        <v>70</v>
      </c>
      <c r="J25">
        <f t="shared" si="1"/>
        <v>70</v>
      </c>
      <c r="K25">
        <v>6</v>
      </c>
      <c r="L25">
        <v>9</v>
      </c>
      <c r="M25">
        <v>4.5</v>
      </c>
      <c r="N25">
        <v>8.1300000000000008</v>
      </c>
      <c r="O25">
        <v>1.93</v>
      </c>
      <c r="P25">
        <f t="shared" si="2"/>
        <v>1.93</v>
      </c>
      <c r="Q25">
        <v>4.95</v>
      </c>
      <c r="R25">
        <v>2.73</v>
      </c>
      <c r="S25">
        <v>2.46</v>
      </c>
      <c r="T25">
        <v>0.27200000000000002</v>
      </c>
      <c r="U25">
        <v>42.68</v>
      </c>
    </row>
    <row r="26" spans="1:21" x14ac:dyDescent="0.25">
      <c r="A26" t="str">
        <f t="shared" si="0"/>
        <v>L70X70X7</v>
      </c>
      <c r="B26" t="s">
        <v>9</v>
      </c>
      <c r="C26">
        <v>70</v>
      </c>
      <c r="D26" t="s">
        <v>10</v>
      </c>
      <c r="E26">
        <v>70</v>
      </c>
      <c r="F26" t="s">
        <v>10</v>
      </c>
      <c r="G26">
        <v>7</v>
      </c>
      <c r="H26">
        <v>7.38</v>
      </c>
      <c r="I26">
        <v>70</v>
      </c>
      <c r="J26">
        <f t="shared" si="1"/>
        <v>70</v>
      </c>
      <c r="K26">
        <v>7</v>
      </c>
      <c r="L26">
        <v>9</v>
      </c>
      <c r="M26">
        <v>4.5</v>
      </c>
      <c r="N26">
        <v>9.4</v>
      </c>
      <c r="O26">
        <v>1.97</v>
      </c>
      <c r="P26">
        <f t="shared" si="2"/>
        <v>1.97</v>
      </c>
      <c r="Q26">
        <v>4.95</v>
      </c>
      <c r="R26">
        <v>2.79</v>
      </c>
      <c r="S26">
        <v>2.4700000000000002</v>
      </c>
      <c r="T26">
        <v>0.27200000000000002</v>
      </c>
      <c r="U26">
        <v>36.909999999999997</v>
      </c>
    </row>
    <row r="27" spans="1:21" x14ac:dyDescent="0.25">
      <c r="A27" t="str">
        <f t="shared" si="0"/>
        <v>L70X70X8</v>
      </c>
      <c r="B27" t="s">
        <v>9</v>
      </c>
      <c r="C27">
        <v>70</v>
      </c>
      <c r="D27" t="s">
        <v>10</v>
      </c>
      <c r="E27">
        <v>70</v>
      </c>
      <c r="F27" t="s">
        <v>10</v>
      </c>
      <c r="G27">
        <v>8</v>
      </c>
      <c r="H27">
        <v>8.3699999999999992</v>
      </c>
      <c r="I27">
        <v>70</v>
      </c>
      <c r="J27">
        <f t="shared" si="1"/>
        <v>70</v>
      </c>
      <c r="K27">
        <v>8</v>
      </c>
      <c r="L27">
        <v>10</v>
      </c>
      <c r="M27">
        <v>5</v>
      </c>
      <c r="N27">
        <v>10.7</v>
      </c>
      <c r="O27">
        <v>2.0099999999999998</v>
      </c>
      <c r="P27">
        <f t="shared" si="2"/>
        <v>2.0099999999999998</v>
      </c>
      <c r="Q27">
        <v>4.95</v>
      </c>
      <c r="R27">
        <v>2.84</v>
      </c>
      <c r="S27">
        <v>2.4700000000000002</v>
      </c>
      <c r="T27">
        <v>0.27100000000000002</v>
      </c>
      <c r="U27">
        <v>32.409999999999997</v>
      </c>
    </row>
    <row r="28" spans="1:21" x14ac:dyDescent="0.25">
      <c r="A28" t="str">
        <f t="shared" si="0"/>
        <v>L70X70X9</v>
      </c>
      <c r="B28" t="s">
        <v>9</v>
      </c>
      <c r="C28">
        <v>70</v>
      </c>
      <c r="D28" t="s">
        <v>10</v>
      </c>
      <c r="E28">
        <v>70</v>
      </c>
      <c r="F28" t="s">
        <v>10</v>
      </c>
      <c r="G28">
        <v>9</v>
      </c>
      <c r="H28">
        <v>9.32</v>
      </c>
      <c r="I28">
        <v>70</v>
      </c>
      <c r="J28">
        <f t="shared" si="1"/>
        <v>70</v>
      </c>
      <c r="K28">
        <v>9</v>
      </c>
      <c r="L28">
        <v>9</v>
      </c>
      <c r="M28">
        <v>4.5</v>
      </c>
      <c r="N28">
        <v>11.9</v>
      </c>
      <c r="O28">
        <v>2.0499999999999998</v>
      </c>
      <c r="P28">
        <f t="shared" si="2"/>
        <v>2.0499999999999998</v>
      </c>
      <c r="Q28">
        <v>4.95</v>
      </c>
      <c r="R28">
        <v>2.9</v>
      </c>
      <c r="S28">
        <v>2.5</v>
      </c>
      <c r="T28">
        <v>0.27200000000000002</v>
      </c>
      <c r="U28">
        <v>29.2</v>
      </c>
    </row>
    <row r="29" spans="1:21" x14ac:dyDescent="0.25">
      <c r="A29" t="str">
        <f t="shared" si="0"/>
        <v>L75X75X4</v>
      </c>
      <c r="B29" t="s">
        <v>9</v>
      </c>
      <c r="C29">
        <v>75</v>
      </c>
      <c r="D29" t="s">
        <v>10</v>
      </c>
      <c r="E29">
        <v>75</v>
      </c>
      <c r="F29" t="s">
        <v>10</v>
      </c>
      <c r="G29">
        <v>4</v>
      </c>
      <c r="H29">
        <v>4.6500000000000004</v>
      </c>
      <c r="I29">
        <v>75</v>
      </c>
      <c r="J29">
        <f t="shared" si="1"/>
        <v>75</v>
      </c>
      <c r="K29">
        <v>4</v>
      </c>
      <c r="L29">
        <v>9</v>
      </c>
      <c r="M29">
        <v>4.5</v>
      </c>
      <c r="N29">
        <v>5.93</v>
      </c>
      <c r="O29">
        <v>1.96</v>
      </c>
      <c r="P29">
        <f t="shared" si="2"/>
        <v>1.96</v>
      </c>
      <c r="Q29">
        <v>5.3</v>
      </c>
      <c r="R29">
        <v>2.76</v>
      </c>
      <c r="S29">
        <v>2.63</v>
      </c>
      <c r="T29">
        <v>0.29199999999999998</v>
      </c>
      <c r="U29">
        <v>62.82</v>
      </c>
    </row>
    <row r="30" spans="1:21" x14ac:dyDescent="0.25">
      <c r="A30" t="str">
        <f t="shared" si="0"/>
        <v>L75X75X5</v>
      </c>
      <c r="B30" t="s">
        <v>9</v>
      </c>
      <c r="C30">
        <v>75</v>
      </c>
      <c r="D30" t="s">
        <v>10</v>
      </c>
      <c r="E30">
        <v>75</v>
      </c>
      <c r="F30" t="s">
        <v>10</v>
      </c>
      <c r="G30">
        <v>5</v>
      </c>
      <c r="H30">
        <v>5.76</v>
      </c>
      <c r="I30">
        <v>75</v>
      </c>
      <c r="J30">
        <f t="shared" si="1"/>
        <v>75</v>
      </c>
      <c r="K30">
        <v>5</v>
      </c>
      <c r="L30">
        <v>9</v>
      </c>
      <c r="M30">
        <v>4.5</v>
      </c>
      <c r="N30">
        <v>7.34</v>
      </c>
      <c r="O30">
        <v>2.0099999999999998</v>
      </c>
      <c r="P30">
        <f t="shared" si="2"/>
        <v>2.0099999999999998</v>
      </c>
      <c r="Q30">
        <v>5.3</v>
      </c>
      <c r="R30">
        <v>2.84</v>
      </c>
      <c r="S30">
        <v>2.63</v>
      </c>
      <c r="T30">
        <v>0.29199999999999998</v>
      </c>
      <c r="U30">
        <v>50.75</v>
      </c>
    </row>
    <row r="31" spans="1:21" x14ac:dyDescent="0.25">
      <c r="A31" t="str">
        <f t="shared" si="0"/>
        <v>L75X75X6</v>
      </c>
      <c r="B31" t="s">
        <v>9</v>
      </c>
      <c r="C31">
        <v>75</v>
      </c>
      <c r="D31" t="s">
        <v>10</v>
      </c>
      <c r="E31">
        <v>75</v>
      </c>
      <c r="F31" t="s">
        <v>10</v>
      </c>
      <c r="G31">
        <v>6</v>
      </c>
      <c r="H31">
        <v>6.85</v>
      </c>
      <c r="I31">
        <v>75</v>
      </c>
      <c r="J31">
        <f t="shared" si="1"/>
        <v>75</v>
      </c>
      <c r="K31">
        <v>6</v>
      </c>
      <c r="L31">
        <v>9</v>
      </c>
      <c r="M31">
        <v>4.5</v>
      </c>
      <c r="N31">
        <v>8.73</v>
      </c>
      <c r="O31">
        <v>2.0499999999999998</v>
      </c>
      <c r="P31">
        <f t="shared" si="2"/>
        <v>2.0499999999999998</v>
      </c>
      <c r="Q31">
        <v>5.3</v>
      </c>
      <c r="R31">
        <v>2.9</v>
      </c>
      <c r="S31">
        <v>2.64</v>
      </c>
      <c r="T31">
        <v>0.29199999999999998</v>
      </c>
      <c r="U31">
        <v>42.66</v>
      </c>
    </row>
    <row r="32" spans="1:21" x14ac:dyDescent="0.25">
      <c r="A32" t="str">
        <f t="shared" si="0"/>
        <v>L75X75X7</v>
      </c>
      <c r="B32" t="s">
        <v>9</v>
      </c>
      <c r="C32">
        <v>75</v>
      </c>
      <c r="D32" t="s">
        <v>10</v>
      </c>
      <c r="E32">
        <v>75</v>
      </c>
      <c r="F32" t="s">
        <v>10</v>
      </c>
      <c r="G32">
        <v>7</v>
      </c>
      <c r="H32">
        <v>7.93</v>
      </c>
      <c r="I32">
        <v>75</v>
      </c>
      <c r="J32">
        <f t="shared" si="1"/>
        <v>75</v>
      </c>
      <c r="K32">
        <v>7</v>
      </c>
      <c r="L32">
        <v>9</v>
      </c>
      <c r="M32">
        <v>4.5</v>
      </c>
      <c r="N32">
        <v>10.1</v>
      </c>
      <c r="O32">
        <v>2.1</v>
      </c>
      <c r="P32">
        <f t="shared" si="2"/>
        <v>2.1</v>
      </c>
      <c r="Q32">
        <v>5.3</v>
      </c>
      <c r="R32">
        <v>2.96</v>
      </c>
      <c r="S32">
        <v>2.65</v>
      </c>
      <c r="T32">
        <v>0.29199999999999998</v>
      </c>
      <c r="U32">
        <v>36.880000000000003</v>
      </c>
    </row>
    <row r="33" spans="1:21" x14ac:dyDescent="0.25">
      <c r="A33" t="str">
        <f t="shared" si="0"/>
        <v>L75X75X8</v>
      </c>
      <c r="B33" t="s">
        <v>9</v>
      </c>
      <c r="C33">
        <v>75</v>
      </c>
      <c r="D33" t="s">
        <v>10</v>
      </c>
      <c r="E33">
        <v>75</v>
      </c>
      <c r="F33" t="s">
        <v>10</v>
      </c>
      <c r="G33">
        <v>8</v>
      </c>
      <c r="H33">
        <v>8.99</v>
      </c>
      <c r="I33">
        <v>75</v>
      </c>
      <c r="J33">
        <f t="shared" si="1"/>
        <v>75</v>
      </c>
      <c r="K33">
        <v>8</v>
      </c>
      <c r="L33">
        <v>9</v>
      </c>
      <c r="M33">
        <v>4.5</v>
      </c>
      <c r="N33">
        <v>11.4</v>
      </c>
      <c r="O33">
        <v>2.14</v>
      </c>
      <c r="P33">
        <f t="shared" si="2"/>
        <v>2.14</v>
      </c>
      <c r="Q33">
        <v>5.3</v>
      </c>
      <c r="R33">
        <v>3.02</v>
      </c>
      <c r="S33">
        <v>2.66</v>
      </c>
      <c r="T33">
        <v>0.29199999999999998</v>
      </c>
      <c r="U33">
        <v>32.53</v>
      </c>
    </row>
    <row r="34" spans="1:21" x14ac:dyDescent="0.25">
      <c r="A34" t="str">
        <f t="shared" si="0"/>
        <v>L75X75X10</v>
      </c>
      <c r="B34" t="s">
        <v>9</v>
      </c>
      <c r="C34">
        <v>75</v>
      </c>
      <c r="D34" t="s">
        <v>10</v>
      </c>
      <c r="E34">
        <v>75</v>
      </c>
      <c r="F34" t="s">
        <v>10</v>
      </c>
      <c r="G34">
        <v>10</v>
      </c>
      <c r="H34">
        <v>11.1</v>
      </c>
      <c r="I34">
        <v>75</v>
      </c>
      <c r="J34">
        <f t="shared" si="1"/>
        <v>75</v>
      </c>
      <c r="K34">
        <v>10</v>
      </c>
      <c r="L34">
        <v>9</v>
      </c>
      <c r="M34">
        <v>4.5</v>
      </c>
      <c r="N34">
        <v>14.1</v>
      </c>
      <c r="O34">
        <v>2.2200000000000002</v>
      </c>
      <c r="P34">
        <f t="shared" si="2"/>
        <v>2.2200000000000002</v>
      </c>
      <c r="Q34">
        <v>5.3</v>
      </c>
      <c r="R34">
        <v>3.13</v>
      </c>
      <c r="S34">
        <v>2.69</v>
      </c>
      <c r="T34">
        <v>0.29199999999999998</v>
      </c>
      <c r="U34">
        <v>26.43</v>
      </c>
    </row>
    <row r="35" spans="1:21" x14ac:dyDescent="0.25">
      <c r="A35" t="str">
        <f t="shared" si="0"/>
        <v>L80X80X5</v>
      </c>
      <c r="B35" t="s">
        <v>9</v>
      </c>
      <c r="C35">
        <v>80</v>
      </c>
      <c r="D35" t="s">
        <v>10</v>
      </c>
      <c r="E35">
        <v>80</v>
      </c>
      <c r="F35" t="s">
        <v>10</v>
      </c>
      <c r="G35">
        <v>5</v>
      </c>
      <c r="H35">
        <v>6.17</v>
      </c>
      <c r="I35">
        <v>80</v>
      </c>
      <c r="J35">
        <f t="shared" si="1"/>
        <v>80</v>
      </c>
      <c r="K35">
        <v>5</v>
      </c>
      <c r="L35">
        <v>10</v>
      </c>
      <c r="M35">
        <v>5</v>
      </c>
      <c r="N35">
        <v>7.86</v>
      </c>
      <c r="O35">
        <v>2.12</v>
      </c>
      <c r="P35">
        <f t="shared" si="2"/>
        <v>2.12</v>
      </c>
      <c r="Q35">
        <v>5.66</v>
      </c>
      <c r="R35">
        <v>3</v>
      </c>
      <c r="S35">
        <v>2.81</v>
      </c>
      <c r="T35">
        <v>0.311</v>
      </c>
      <c r="U35">
        <v>50.49</v>
      </c>
    </row>
    <row r="36" spans="1:21" x14ac:dyDescent="0.25">
      <c r="A36" t="str">
        <f t="shared" si="0"/>
        <v>L80X80X6</v>
      </c>
      <c r="B36" t="s">
        <v>9</v>
      </c>
      <c r="C36">
        <v>80</v>
      </c>
      <c r="D36" t="s">
        <v>10</v>
      </c>
      <c r="E36">
        <v>80</v>
      </c>
      <c r="F36" t="s">
        <v>10</v>
      </c>
      <c r="G36">
        <v>6</v>
      </c>
      <c r="H36">
        <v>7.34</v>
      </c>
      <c r="I36">
        <v>80</v>
      </c>
      <c r="J36">
        <f t="shared" si="1"/>
        <v>80</v>
      </c>
      <c r="K36">
        <v>6</v>
      </c>
      <c r="L36">
        <v>10</v>
      </c>
      <c r="M36">
        <v>5</v>
      </c>
      <c r="N36">
        <v>9.35</v>
      </c>
      <c r="O36">
        <v>2.17</v>
      </c>
      <c r="P36">
        <f t="shared" si="2"/>
        <v>2.17</v>
      </c>
      <c r="Q36">
        <v>5.66</v>
      </c>
      <c r="R36">
        <v>3.07</v>
      </c>
      <c r="S36">
        <v>2.81</v>
      </c>
      <c r="T36">
        <v>0.311</v>
      </c>
      <c r="U36">
        <v>42.44</v>
      </c>
    </row>
    <row r="37" spans="1:21" x14ac:dyDescent="0.25">
      <c r="A37" t="str">
        <f t="shared" si="0"/>
        <v>L80X80X7</v>
      </c>
      <c r="B37" t="s">
        <v>9</v>
      </c>
      <c r="C37">
        <v>80</v>
      </c>
      <c r="D37" t="s">
        <v>10</v>
      </c>
      <c r="E37">
        <v>80</v>
      </c>
      <c r="F37" t="s">
        <v>10</v>
      </c>
      <c r="G37">
        <v>7</v>
      </c>
      <c r="H37">
        <v>8.49</v>
      </c>
      <c r="I37">
        <v>80</v>
      </c>
      <c r="J37">
        <f t="shared" si="1"/>
        <v>80</v>
      </c>
      <c r="K37">
        <v>7</v>
      </c>
      <c r="L37">
        <v>10</v>
      </c>
      <c r="M37">
        <v>5</v>
      </c>
      <c r="N37">
        <v>10.8</v>
      </c>
      <c r="O37">
        <v>2.21</v>
      </c>
      <c r="P37">
        <f t="shared" si="2"/>
        <v>2.21</v>
      </c>
      <c r="Q37">
        <v>5.66</v>
      </c>
      <c r="R37">
        <v>3.13</v>
      </c>
      <c r="S37">
        <v>2.82</v>
      </c>
      <c r="T37">
        <v>0.311</v>
      </c>
      <c r="U37">
        <v>36.67</v>
      </c>
    </row>
    <row r="38" spans="1:21" x14ac:dyDescent="0.25">
      <c r="A38" t="str">
        <f t="shared" si="0"/>
        <v>L80X80X8</v>
      </c>
      <c r="B38" t="s">
        <v>9</v>
      </c>
      <c r="C38">
        <v>80</v>
      </c>
      <c r="D38" t="s">
        <v>10</v>
      </c>
      <c r="E38">
        <v>80</v>
      </c>
      <c r="F38" t="s">
        <v>10</v>
      </c>
      <c r="G38">
        <v>8</v>
      </c>
      <c r="H38">
        <v>9.6300000000000008</v>
      </c>
      <c r="I38">
        <v>80</v>
      </c>
      <c r="J38">
        <f t="shared" si="1"/>
        <v>80</v>
      </c>
      <c r="K38">
        <v>8</v>
      </c>
      <c r="L38">
        <v>10</v>
      </c>
      <c r="M38">
        <v>5</v>
      </c>
      <c r="N38">
        <v>12.3</v>
      </c>
      <c r="O38">
        <v>2.2599999999999998</v>
      </c>
      <c r="P38">
        <f t="shared" si="2"/>
        <v>2.2599999999999998</v>
      </c>
      <c r="Q38">
        <v>5.66</v>
      </c>
      <c r="R38">
        <v>3.19</v>
      </c>
      <c r="S38">
        <v>2.83</v>
      </c>
      <c r="T38">
        <v>0.311</v>
      </c>
      <c r="U38">
        <v>32.340000000000003</v>
      </c>
    </row>
    <row r="39" spans="1:21" x14ac:dyDescent="0.25">
      <c r="A39" t="str">
        <f t="shared" si="0"/>
        <v>L80X80X10</v>
      </c>
      <c r="B39" t="s">
        <v>9</v>
      </c>
      <c r="C39">
        <v>80</v>
      </c>
      <c r="D39" t="s">
        <v>10</v>
      </c>
      <c r="E39">
        <v>80</v>
      </c>
      <c r="F39" t="s">
        <v>10</v>
      </c>
      <c r="G39">
        <v>10</v>
      </c>
      <c r="H39">
        <v>11.9</v>
      </c>
      <c r="I39">
        <v>80</v>
      </c>
      <c r="J39">
        <f t="shared" si="1"/>
        <v>80</v>
      </c>
      <c r="K39">
        <v>10</v>
      </c>
      <c r="L39">
        <v>10</v>
      </c>
      <c r="M39">
        <v>5</v>
      </c>
      <c r="N39">
        <v>15.1</v>
      </c>
      <c r="O39">
        <v>2.34</v>
      </c>
      <c r="P39">
        <f t="shared" si="2"/>
        <v>2.34</v>
      </c>
      <c r="Q39">
        <v>5.66</v>
      </c>
      <c r="R39">
        <v>3.3</v>
      </c>
      <c r="S39">
        <v>2.85</v>
      </c>
      <c r="T39">
        <v>0.311</v>
      </c>
      <c r="U39">
        <v>26.26</v>
      </c>
    </row>
    <row r="40" spans="1:21" x14ac:dyDescent="0.25">
      <c r="A40" t="str">
        <f t="shared" si="0"/>
        <v>L90X90X6</v>
      </c>
      <c r="B40" t="s">
        <v>9</v>
      </c>
      <c r="C40">
        <v>90</v>
      </c>
      <c r="D40" t="s">
        <v>10</v>
      </c>
      <c r="E40">
        <v>90</v>
      </c>
      <c r="F40" t="s">
        <v>10</v>
      </c>
      <c r="G40">
        <v>6</v>
      </c>
      <c r="H40">
        <v>8.2799999999999994</v>
      </c>
      <c r="I40">
        <v>90</v>
      </c>
      <c r="J40">
        <f t="shared" si="1"/>
        <v>90</v>
      </c>
      <c r="K40">
        <v>6</v>
      </c>
      <c r="L40">
        <v>10</v>
      </c>
      <c r="M40">
        <v>5</v>
      </c>
      <c r="N40">
        <v>10.5</v>
      </c>
      <c r="O40">
        <v>2.42</v>
      </c>
      <c r="P40">
        <f t="shared" si="2"/>
        <v>2.42</v>
      </c>
      <c r="Q40">
        <v>6.36</v>
      </c>
      <c r="R40">
        <v>3.42</v>
      </c>
      <c r="S40">
        <v>3.16</v>
      </c>
      <c r="T40">
        <v>0.35099999999999998</v>
      </c>
      <c r="U40">
        <v>42.44</v>
      </c>
    </row>
    <row r="41" spans="1:21" x14ac:dyDescent="0.25">
      <c r="A41" t="str">
        <f t="shared" si="0"/>
        <v>L90X90X7</v>
      </c>
      <c r="B41" t="s">
        <v>9</v>
      </c>
      <c r="C41">
        <v>90</v>
      </c>
      <c r="D41" t="s">
        <v>10</v>
      </c>
      <c r="E41">
        <v>90</v>
      </c>
      <c r="F41" t="s">
        <v>10</v>
      </c>
      <c r="G41">
        <v>7</v>
      </c>
      <c r="H41">
        <v>9.61</v>
      </c>
      <c r="I41">
        <v>90</v>
      </c>
      <c r="J41">
        <f t="shared" si="1"/>
        <v>90</v>
      </c>
      <c r="K41">
        <v>7</v>
      </c>
      <c r="L41">
        <v>11</v>
      </c>
      <c r="M41">
        <v>5.5</v>
      </c>
      <c r="N41">
        <v>12.2</v>
      </c>
      <c r="O41">
        <v>2.4500000000000002</v>
      </c>
      <c r="P41">
        <f t="shared" si="2"/>
        <v>2.4500000000000002</v>
      </c>
      <c r="Q41">
        <v>6.36</v>
      </c>
      <c r="R41">
        <v>3.47</v>
      </c>
      <c r="S41">
        <v>3.16</v>
      </c>
      <c r="T41">
        <v>0.35099999999999998</v>
      </c>
      <c r="U41">
        <v>36.479999999999997</v>
      </c>
    </row>
    <row r="42" spans="1:21" x14ac:dyDescent="0.25">
      <c r="A42" t="str">
        <f t="shared" si="0"/>
        <v>L90X90X8</v>
      </c>
      <c r="B42" t="s">
        <v>9</v>
      </c>
      <c r="C42">
        <v>90</v>
      </c>
      <c r="D42" t="s">
        <v>10</v>
      </c>
      <c r="E42">
        <v>90</v>
      </c>
      <c r="F42" t="s">
        <v>10</v>
      </c>
      <c r="G42">
        <v>8</v>
      </c>
      <c r="H42">
        <v>10.9</v>
      </c>
      <c r="I42">
        <v>90</v>
      </c>
      <c r="J42">
        <f t="shared" si="1"/>
        <v>90</v>
      </c>
      <c r="K42">
        <v>8</v>
      </c>
      <c r="L42">
        <v>11</v>
      </c>
      <c r="M42">
        <v>5.5</v>
      </c>
      <c r="N42">
        <v>13.9</v>
      </c>
      <c r="O42">
        <v>2.5</v>
      </c>
      <c r="P42">
        <f t="shared" si="2"/>
        <v>2.5</v>
      </c>
      <c r="Q42">
        <v>6.36</v>
      </c>
      <c r="R42">
        <v>3.53</v>
      </c>
      <c r="S42">
        <v>3.17</v>
      </c>
      <c r="T42">
        <v>0.35099999999999998</v>
      </c>
      <c r="U42">
        <v>32.15</v>
      </c>
    </row>
    <row r="43" spans="1:21" x14ac:dyDescent="0.25">
      <c r="A43" t="str">
        <f t="shared" si="0"/>
        <v>L90X90X9</v>
      </c>
      <c r="B43" t="s">
        <v>9</v>
      </c>
      <c r="C43">
        <v>90</v>
      </c>
      <c r="D43" t="s">
        <v>10</v>
      </c>
      <c r="E43">
        <v>90</v>
      </c>
      <c r="F43" t="s">
        <v>10</v>
      </c>
      <c r="G43">
        <v>9</v>
      </c>
      <c r="H43">
        <v>12.2</v>
      </c>
      <c r="I43">
        <v>90</v>
      </c>
      <c r="J43">
        <f t="shared" si="1"/>
        <v>90</v>
      </c>
      <c r="K43">
        <v>9</v>
      </c>
      <c r="L43">
        <v>11</v>
      </c>
      <c r="M43">
        <v>5.5</v>
      </c>
      <c r="N43">
        <v>15.5</v>
      </c>
      <c r="O43">
        <v>2.54</v>
      </c>
      <c r="P43">
        <f t="shared" si="2"/>
        <v>2.54</v>
      </c>
      <c r="Q43">
        <v>6.36</v>
      </c>
      <c r="R43">
        <v>3.59</v>
      </c>
      <c r="S43">
        <v>3.18</v>
      </c>
      <c r="T43">
        <v>0.35099999999999998</v>
      </c>
      <c r="U43">
        <v>28.77</v>
      </c>
    </row>
    <row r="44" spans="1:21" x14ac:dyDescent="0.25">
      <c r="A44" t="str">
        <f t="shared" si="0"/>
        <v>L90X90X10</v>
      </c>
      <c r="B44" t="s">
        <v>9</v>
      </c>
      <c r="C44">
        <v>90</v>
      </c>
      <c r="D44" t="s">
        <v>10</v>
      </c>
      <c r="E44">
        <v>90</v>
      </c>
      <c r="F44" t="s">
        <v>10</v>
      </c>
      <c r="G44">
        <v>10</v>
      </c>
      <c r="H44">
        <v>13.4</v>
      </c>
      <c r="I44">
        <v>90</v>
      </c>
      <c r="J44">
        <f t="shared" si="1"/>
        <v>90</v>
      </c>
      <c r="K44">
        <v>10</v>
      </c>
      <c r="L44">
        <v>11</v>
      </c>
      <c r="M44">
        <v>5.5</v>
      </c>
      <c r="N44">
        <v>17.100000000000001</v>
      </c>
      <c r="O44">
        <v>2.58</v>
      </c>
      <c r="P44">
        <f t="shared" si="2"/>
        <v>2.58</v>
      </c>
      <c r="Q44">
        <v>6.36</v>
      </c>
      <c r="R44">
        <v>3.65</v>
      </c>
      <c r="S44">
        <v>3.19</v>
      </c>
      <c r="T44">
        <v>0.35099999999999998</v>
      </c>
      <c r="U44">
        <v>26.07</v>
      </c>
    </row>
    <row r="45" spans="1:21" x14ac:dyDescent="0.25">
      <c r="A45" t="str">
        <f t="shared" si="0"/>
        <v>L90X90X11</v>
      </c>
      <c r="B45" t="s">
        <v>9</v>
      </c>
      <c r="C45">
        <v>90</v>
      </c>
      <c r="D45" t="s">
        <v>10</v>
      </c>
      <c r="E45">
        <v>90</v>
      </c>
      <c r="F45" t="s">
        <v>10</v>
      </c>
      <c r="G45">
        <v>11</v>
      </c>
      <c r="H45">
        <v>14.7</v>
      </c>
      <c r="I45">
        <v>90</v>
      </c>
      <c r="J45">
        <f t="shared" si="1"/>
        <v>90</v>
      </c>
      <c r="K45">
        <v>11</v>
      </c>
      <c r="L45">
        <v>11</v>
      </c>
      <c r="M45">
        <v>5.5</v>
      </c>
      <c r="N45">
        <v>18.7</v>
      </c>
      <c r="O45">
        <v>2.62</v>
      </c>
      <c r="P45">
        <f t="shared" si="2"/>
        <v>2.62</v>
      </c>
      <c r="Q45">
        <v>6.36</v>
      </c>
      <c r="R45">
        <v>3.7</v>
      </c>
      <c r="S45">
        <v>3.21</v>
      </c>
      <c r="T45">
        <v>0.35099999999999998</v>
      </c>
      <c r="U45">
        <v>23.86</v>
      </c>
    </row>
    <row r="46" spans="1:21" x14ac:dyDescent="0.25">
      <c r="A46" t="str">
        <f t="shared" si="0"/>
        <v>L100X100X6</v>
      </c>
      <c r="B46" t="s">
        <v>9</v>
      </c>
      <c r="C46">
        <v>100</v>
      </c>
      <c r="D46" t="s">
        <v>10</v>
      </c>
      <c r="E46">
        <v>100</v>
      </c>
      <c r="F46" t="s">
        <v>10</v>
      </c>
      <c r="G46">
        <v>6</v>
      </c>
      <c r="H46">
        <v>9.26</v>
      </c>
      <c r="I46">
        <v>100</v>
      </c>
      <c r="J46">
        <f t="shared" si="1"/>
        <v>100</v>
      </c>
      <c r="K46">
        <v>6</v>
      </c>
      <c r="L46">
        <v>12</v>
      </c>
      <c r="M46">
        <v>6</v>
      </c>
      <c r="N46">
        <v>11.8</v>
      </c>
      <c r="O46">
        <v>2.64</v>
      </c>
      <c r="P46">
        <f t="shared" si="2"/>
        <v>2.64</v>
      </c>
      <c r="Q46">
        <v>7.07</v>
      </c>
      <c r="R46">
        <v>3.74</v>
      </c>
      <c r="S46">
        <v>3.51</v>
      </c>
      <c r="T46">
        <v>0.39</v>
      </c>
      <c r="U46">
        <v>42.09</v>
      </c>
    </row>
    <row r="47" spans="1:21" x14ac:dyDescent="0.25">
      <c r="A47" t="str">
        <f t="shared" si="0"/>
        <v>L100X100X7</v>
      </c>
      <c r="B47" t="s">
        <v>9</v>
      </c>
      <c r="C47">
        <v>100</v>
      </c>
      <c r="D47" t="s">
        <v>10</v>
      </c>
      <c r="E47">
        <v>100</v>
      </c>
      <c r="F47" t="s">
        <v>10</v>
      </c>
      <c r="G47">
        <v>7</v>
      </c>
      <c r="H47">
        <v>10.7</v>
      </c>
      <c r="I47">
        <v>100</v>
      </c>
      <c r="J47">
        <f t="shared" si="1"/>
        <v>100</v>
      </c>
      <c r="K47">
        <v>7</v>
      </c>
      <c r="L47">
        <v>12</v>
      </c>
      <c r="M47">
        <v>6</v>
      </c>
      <c r="N47">
        <v>13.7</v>
      </c>
      <c r="O47">
        <v>2.69</v>
      </c>
      <c r="P47">
        <f t="shared" si="2"/>
        <v>2.69</v>
      </c>
      <c r="Q47">
        <v>7.07</v>
      </c>
      <c r="R47">
        <v>3.81</v>
      </c>
      <c r="S47">
        <v>3.51</v>
      </c>
      <c r="T47">
        <v>0.39</v>
      </c>
      <c r="U47">
        <v>36.33</v>
      </c>
    </row>
    <row r="48" spans="1:21" x14ac:dyDescent="0.25">
      <c r="A48" t="str">
        <f t="shared" si="0"/>
        <v>L100X100X8</v>
      </c>
      <c r="B48" t="s">
        <v>9</v>
      </c>
      <c r="C48">
        <v>100</v>
      </c>
      <c r="D48" t="s">
        <v>10</v>
      </c>
      <c r="E48">
        <v>100</v>
      </c>
      <c r="F48" t="s">
        <v>10</v>
      </c>
      <c r="G48">
        <v>8</v>
      </c>
      <c r="H48">
        <v>12.2</v>
      </c>
      <c r="I48">
        <v>100</v>
      </c>
      <c r="J48">
        <f t="shared" si="1"/>
        <v>100</v>
      </c>
      <c r="K48">
        <v>8</v>
      </c>
      <c r="L48">
        <v>12</v>
      </c>
      <c r="M48">
        <v>6</v>
      </c>
      <c r="N48">
        <v>15.5</v>
      </c>
      <c r="O48">
        <v>2.74</v>
      </c>
      <c r="P48">
        <f t="shared" si="2"/>
        <v>2.74</v>
      </c>
      <c r="Q48">
        <v>7.07</v>
      </c>
      <c r="R48">
        <v>3.87</v>
      </c>
      <c r="S48">
        <v>3.52</v>
      </c>
      <c r="T48">
        <v>0.39</v>
      </c>
      <c r="U48">
        <v>32</v>
      </c>
    </row>
    <row r="49" spans="1:21" x14ac:dyDescent="0.25">
      <c r="A49" t="str">
        <f t="shared" si="0"/>
        <v>L100X100X10</v>
      </c>
      <c r="B49" t="s">
        <v>9</v>
      </c>
      <c r="C49">
        <v>100</v>
      </c>
      <c r="D49" t="s">
        <v>10</v>
      </c>
      <c r="E49">
        <v>100</v>
      </c>
      <c r="F49" t="s">
        <v>10</v>
      </c>
      <c r="G49">
        <v>10</v>
      </c>
      <c r="H49">
        <v>15</v>
      </c>
      <c r="I49">
        <v>100</v>
      </c>
      <c r="J49">
        <f t="shared" si="1"/>
        <v>100</v>
      </c>
      <c r="K49">
        <v>10</v>
      </c>
      <c r="L49">
        <v>12</v>
      </c>
      <c r="M49">
        <v>6</v>
      </c>
      <c r="N49">
        <v>19.2</v>
      </c>
      <c r="O49">
        <v>2.82</v>
      </c>
      <c r="P49">
        <f t="shared" si="2"/>
        <v>2.82</v>
      </c>
      <c r="Q49">
        <v>7.07</v>
      </c>
      <c r="R49">
        <v>3.99</v>
      </c>
      <c r="S49">
        <v>3.54</v>
      </c>
      <c r="T49">
        <v>0.39</v>
      </c>
      <c r="U49">
        <v>25.92</v>
      </c>
    </row>
    <row r="50" spans="1:21" x14ac:dyDescent="0.25">
      <c r="A50" t="str">
        <f t="shared" si="0"/>
        <v>L100X100X12</v>
      </c>
      <c r="B50" t="s">
        <v>9</v>
      </c>
      <c r="C50">
        <v>100</v>
      </c>
      <c r="D50" t="s">
        <v>10</v>
      </c>
      <c r="E50">
        <v>100</v>
      </c>
      <c r="F50" t="s">
        <v>10</v>
      </c>
      <c r="G50">
        <v>12</v>
      </c>
      <c r="H50">
        <v>17.8</v>
      </c>
      <c r="I50">
        <v>100</v>
      </c>
      <c r="J50">
        <f t="shared" si="1"/>
        <v>100</v>
      </c>
      <c r="K50">
        <v>12</v>
      </c>
      <c r="L50">
        <v>12</v>
      </c>
      <c r="M50">
        <v>6</v>
      </c>
      <c r="N50">
        <v>22.7</v>
      </c>
      <c r="O50">
        <v>2.9</v>
      </c>
      <c r="P50">
        <f t="shared" si="2"/>
        <v>2.9</v>
      </c>
      <c r="Q50">
        <v>7.07</v>
      </c>
      <c r="R50">
        <v>4.1100000000000003</v>
      </c>
      <c r="S50">
        <v>3.57</v>
      </c>
      <c r="T50">
        <v>0.39</v>
      </c>
      <c r="U50">
        <v>21.86</v>
      </c>
    </row>
    <row r="51" spans="1:21" x14ac:dyDescent="0.25">
      <c r="A51" t="str">
        <f t="shared" si="0"/>
        <v>L110X110X8</v>
      </c>
      <c r="B51" t="s">
        <v>9</v>
      </c>
      <c r="C51">
        <v>110</v>
      </c>
      <c r="D51" t="s">
        <v>10</v>
      </c>
      <c r="E51">
        <v>110</v>
      </c>
      <c r="F51" t="s">
        <v>10</v>
      </c>
      <c r="G51">
        <v>8</v>
      </c>
      <c r="H51">
        <v>13.4</v>
      </c>
      <c r="I51">
        <v>110</v>
      </c>
      <c r="J51">
        <f t="shared" si="1"/>
        <v>110</v>
      </c>
      <c r="K51">
        <v>8</v>
      </c>
      <c r="L51">
        <v>12</v>
      </c>
      <c r="M51">
        <v>6</v>
      </c>
      <c r="N51">
        <v>17.100000000000001</v>
      </c>
      <c r="O51">
        <v>2.99</v>
      </c>
      <c r="P51">
        <f t="shared" si="2"/>
        <v>2.99</v>
      </c>
      <c r="Q51">
        <v>7.78</v>
      </c>
      <c r="R51">
        <v>4.22</v>
      </c>
      <c r="S51">
        <v>3.87</v>
      </c>
      <c r="T51">
        <v>0.43</v>
      </c>
      <c r="U51">
        <v>31.98</v>
      </c>
    </row>
    <row r="52" spans="1:21" x14ac:dyDescent="0.25">
      <c r="A52" t="str">
        <f t="shared" si="0"/>
        <v>L110X110X10</v>
      </c>
      <c r="B52" t="s">
        <v>9</v>
      </c>
      <c r="C52">
        <v>110</v>
      </c>
      <c r="D52" t="s">
        <v>10</v>
      </c>
      <c r="E52">
        <v>110</v>
      </c>
      <c r="F52" t="s">
        <v>10</v>
      </c>
      <c r="G52">
        <v>10</v>
      </c>
      <c r="H52">
        <v>16.600000000000001</v>
      </c>
      <c r="I52">
        <v>110</v>
      </c>
      <c r="J52">
        <f t="shared" si="1"/>
        <v>110</v>
      </c>
      <c r="K52">
        <v>10</v>
      </c>
      <c r="L52">
        <v>13</v>
      </c>
      <c r="M52">
        <v>6.5</v>
      </c>
      <c r="N52">
        <v>21.2</v>
      </c>
      <c r="O52">
        <v>3.06</v>
      </c>
      <c r="P52">
        <f t="shared" si="2"/>
        <v>3.06</v>
      </c>
      <c r="Q52">
        <v>7.78</v>
      </c>
      <c r="R52">
        <v>4.33</v>
      </c>
      <c r="S52">
        <v>3.88</v>
      </c>
      <c r="T52">
        <v>0.42899999999999999</v>
      </c>
      <c r="U52">
        <v>25.79</v>
      </c>
    </row>
    <row r="53" spans="1:21" x14ac:dyDescent="0.25">
      <c r="A53" t="str">
        <f t="shared" si="0"/>
        <v>L110X110X12</v>
      </c>
      <c r="B53" t="s">
        <v>9</v>
      </c>
      <c r="C53">
        <v>110</v>
      </c>
      <c r="D53" t="s">
        <v>10</v>
      </c>
      <c r="E53">
        <v>110</v>
      </c>
      <c r="F53" t="s">
        <v>10</v>
      </c>
      <c r="G53">
        <v>12</v>
      </c>
      <c r="H53">
        <v>19.7</v>
      </c>
      <c r="I53">
        <v>110</v>
      </c>
      <c r="J53">
        <f t="shared" si="1"/>
        <v>110</v>
      </c>
      <c r="K53">
        <v>12</v>
      </c>
      <c r="L53">
        <v>13</v>
      </c>
      <c r="M53">
        <v>6.5</v>
      </c>
      <c r="N53">
        <v>25.1</v>
      </c>
      <c r="O53">
        <v>3.15</v>
      </c>
      <c r="P53">
        <f t="shared" si="2"/>
        <v>3.15</v>
      </c>
      <c r="Q53">
        <v>7.78</v>
      </c>
      <c r="R53">
        <v>4.45</v>
      </c>
      <c r="S53">
        <v>3.91</v>
      </c>
      <c r="T53">
        <v>0.42899999999999999</v>
      </c>
      <c r="U53">
        <v>21.73</v>
      </c>
    </row>
    <row r="54" spans="1:21" x14ac:dyDescent="0.25">
      <c r="A54" t="str">
        <f t="shared" si="0"/>
        <v>L120X120X8</v>
      </c>
      <c r="B54" t="s">
        <v>9</v>
      </c>
      <c r="C54">
        <v>120</v>
      </c>
      <c r="D54" t="s">
        <v>10</v>
      </c>
      <c r="E54">
        <v>120</v>
      </c>
      <c r="F54" t="s">
        <v>10</v>
      </c>
      <c r="G54">
        <v>8</v>
      </c>
      <c r="H54">
        <v>14.7</v>
      </c>
      <c r="I54">
        <v>120</v>
      </c>
      <c r="J54">
        <f t="shared" si="1"/>
        <v>120</v>
      </c>
      <c r="K54">
        <v>8</v>
      </c>
      <c r="L54">
        <v>13</v>
      </c>
      <c r="M54">
        <v>6.5</v>
      </c>
      <c r="N54">
        <v>18.7</v>
      </c>
      <c r="O54">
        <v>3.23</v>
      </c>
      <c r="P54">
        <f t="shared" si="2"/>
        <v>3.23</v>
      </c>
      <c r="Q54">
        <v>8.49</v>
      </c>
      <c r="R54">
        <v>4.5599999999999996</v>
      </c>
      <c r="S54">
        <v>4.22</v>
      </c>
      <c r="T54">
        <v>0.46899999999999997</v>
      </c>
      <c r="U54">
        <v>31.87</v>
      </c>
    </row>
    <row r="55" spans="1:21" x14ac:dyDescent="0.25">
      <c r="A55" t="str">
        <f t="shared" si="0"/>
        <v>L120X120X10</v>
      </c>
      <c r="B55" t="s">
        <v>9</v>
      </c>
      <c r="C55">
        <v>120</v>
      </c>
      <c r="D55" t="s">
        <v>10</v>
      </c>
      <c r="E55">
        <v>120</v>
      </c>
      <c r="F55" t="s">
        <v>10</v>
      </c>
      <c r="G55">
        <v>10</v>
      </c>
      <c r="H55">
        <v>18.2</v>
      </c>
      <c r="I55">
        <v>120</v>
      </c>
      <c r="J55">
        <f t="shared" si="1"/>
        <v>120</v>
      </c>
      <c r="K55">
        <v>10</v>
      </c>
      <c r="L55">
        <v>13</v>
      </c>
      <c r="M55">
        <v>6.5</v>
      </c>
      <c r="N55">
        <v>23.2</v>
      </c>
      <c r="O55">
        <v>3.31</v>
      </c>
      <c r="P55">
        <f t="shared" si="2"/>
        <v>3.31</v>
      </c>
      <c r="Q55">
        <v>8.49</v>
      </c>
      <c r="R55">
        <v>4.6900000000000004</v>
      </c>
      <c r="S55">
        <v>4.24</v>
      </c>
      <c r="T55">
        <v>0.46899999999999997</v>
      </c>
      <c r="U55">
        <v>25.76</v>
      </c>
    </row>
    <row r="56" spans="1:21" x14ac:dyDescent="0.25">
      <c r="A56" t="str">
        <f t="shared" si="0"/>
        <v>L120X120X11</v>
      </c>
      <c r="B56" t="s">
        <v>9</v>
      </c>
      <c r="C56">
        <v>120</v>
      </c>
      <c r="D56" t="s">
        <v>10</v>
      </c>
      <c r="E56">
        <v>120</v>
      </c>
      <c r="F56" t="s">
        <v>10</v>
      </c>
      <c r="G56">
        <v>11</v>
      </c>
      <c r="H56">
        <v>19.899999999999999</v>
      </c>
      <c r="I56">
        <v>120</v>
      </c>
      <c r="J56">
        <f t="shared" si="1"/>
        <v>120</v>
      </c>
      <c r="K56">
        <v>11</v>
      </c>
      <c r="L56">
        <v>13</v>
      </c>
      <c r="M56">
        <v>6.5</v>
      </c>
      <c r="N56">
        <v>25.4</v>
      </c>
      <c r="O56">
        <v>3.36</v>
      </c>
      <c r="P56">
        <f t="shared" si="2"/>
        <v>3.36</v>
      </c>
      <c r="Q56">
        <v>8.49</v>
      </c>
      <c r="R56">
        <v>4.75</v>
      </c>
      <c r="S56">
        <v>4.25</v>
      </c>
      <c r="T56">
        <v>0.46899999999999997</v>
      </c>
      <c r="U56">
        <v>23.54</v>
      </c>
    </row>
    <row r="57" spans="1:21" x14ac:dyDescent="0.25">
      <c r="A57" t="str">
        <f t="shared" si="0"/>
        <v>L120X120X12</v>
      </c>
      <c r="B57" t="s">
        <v>9</v>
      </c>
      <c r="C57">
        <v>120</v>
      </c>
      <c r="D57" t="s">
        <v>10</v>
      </c>
      <c r="E57">
        <v>120</v>
      </c>
      <c r="F57" t="s">
        <v>10</v>
      </c>
      <c r="G57">
        <v>12</v>
      </c>
      <c r="H57">
        <v>21.6</v>
      </c>
      <c r="I57">
        <v>120</v>
      </c>
      <c r="J57">
        <f t="shared" si="1"/>
        <v>120</v>
      </c>
      <c r="K57">
        <v>12</v>
      </c>
      <c r="L57">
        <v>13</v>
      </c>
      <c r="M57">
        <v>6.5</v>
      </c>
      <c r="N57">
        <v>27.5</v>
      </c>
      <c r="O57">
        <v>3.4</v>
      </c>
      <c r="P57">
        <f t="shared" si="2"/>
        <v>3.4</v>
      </c>
      <c r="Q57">
        <v>8.49</v>
      </c>
      <c r="R57">
        <v>4.8</v>
      </c>
      <c r="S57">
        <v>4.26</v>
      </c>
      <c r="T57">
        <v>0.46899999999999997</v>
      </c>
      <c r="U57">
        <v>21.69</v>
      </c>
    </row>
    <row r="58" spans="1:21" x14ac:dyDescent="0.25">
      <c r="A58" t="str">
        <f t="shared" si="0"/>
        <v>L120X120X13</v>
      </c>
      <c r="B58" t="s">
        <v>9</v>
      </c>
      <c r="C58">
        <v>120</v>
      </c>
      <c r="D58" t="s">
        <v>10</v>
      </c>
      <c r="E58">
        <v>120</v>
      </c>
      <c r="F58" t="s">
        <v>10</v>
      </c>
      <c r="G58">
        <v>13</v>
      </c>
      <c r="H58">
        <v>23.3</v>
      </c>
      <c r="I58">
        <v>120</v>
      </c>
      <c r="J58">
        <f t="shared" si="1"/>
        <v>120</v>
      </c>
      <c r="K58">
        <v>13</v>
      </c>
      <c r="L58">
        <v>13</v>
      </c>
      <c r="M58">
        <v>6.5</v>
      </c>
      <c r="N58">
        <v>29.7</v>
      </c>
      <c r="O58">
        <v>3.44</v>
      </c>
      <c r="P58">
        <f t="shared" si="2"/>
        <v>3.44</v>
      </c>
      <c r="Q58">
        <v>8.49</v>
      </c>
      <c r="R58">
        <v>4.8600000000000003</v>
      </c>
      <c r="S58">
        <v>4.28</v>
      </c>
      <c r="T58">
        <v>0.46899999999999997</v>
      </c>
      <c r="U58">
        <v>20.12</v>
      </c>
    </row>
    <row r="59" spans="1:21" x14ac:dyDescent="0.25">
      <c r="A59" t="str">
        <f t="shared" si="0"/>
        <v>L120X120X15</v>
      </c>
      <c r="B59" t="s">
        <v>9</v>
      </c>
      <c r="C59">
        <v>120</v>
      </c>
      <c r="D59" t="s">
        <v>10</v>
      </c>
      <c r="E59">
        <v>120</v>
      </c>
      <c r="F59" t="s">
        <v>10</v>
      </c>
      <c r="G59">
        <v>15</v>
      </c>
      <c r="H59">
        <v>26.6</v>
      </c>
      <c r="I59">
        <v>120</v>
      </c>
      <c r="J59">
        <f t="shared" si="1"/>
        <v>120</v>
      </c>
      <c r="K59">
        <v>15</v>
      </c>
      <c r="L59">
        <v>13</v>
      </c>
      <c r="M59">
        <v>6.5</v>
      </c>
      <c r="N59">
        <v>33.9</v>
      </c>
      <c r="O59">
        <v>3.51</v>
      </c>
      <c r="P59">
        <f t="shared" si="2"/>
        <v>3.51</v>
      </c>
      <c r="Q59">
        <v>8.49</v>
      </c>
      <c r="R59">
        <v>4.97</v>
      </c>
      <c r="S59">
        <v>4.3099999999999996</v>
      </c>
      <c r="T59">
        <v>0.46899999999999997</v>
      </c>
      <c r="U59">
        <v>17.600000000000001</v>
      </c>
    </row>
    <row r="60" spans="1:21" x14ac:dyDescent="0.25">
      <c r="A60" t="str">
        <f t="shared" si="0"/>
        <v>L130X130X10</v>
      </c>
      <c r="B60" t="s">
        <v>9</v>
      </c>
      <c r="C60">
        <v>130</v>
      </c>
      <c r="D60" t="s">
        <v>10</v>
      </c>
      <c r="E60">
        <v>130</v>
      </c>
      <c r="F60" t="s">
        <v>10</v>
      </c>
      <c r="G60">
        <v>10</v>
      </c>
      <c r="H60">
        <v>19.8</v>
      </c>
      <c r="I60">
        <v>130</v>
      </c>
      <c r="J60">
        <f t="shared" si="1"/>
        <v>130</v>
      </c>
      <c r="K60">
        <v>10</v>
      </c>
      <c r="L60">
        <v>14</v>
      </c>
      <c r="M60">
        <v>7</v>
      </c>
      <c r="N60">
        <v>25.2</v>
      </c>
      <c r="O60">
        <v>3.55</v>
      </c>
      <c r="P60">
        <f t="shared" si="2"/>
        <v>3.55</v>
      </c>
      <c r="Q60">
        <v>9.19</v>
      </c>
      <c r="R60">
        <v>5.03</v>
      </c>
      <c r="S60">
        <v>4.58</v>
      </c>
      <c r="T60">
        <v>0.50800000000000001</v>
      </c>
      <c r="U60">
        <v>25.67</v>
      </c>
    </row>
    <row r="61" spans="1:21" x14ac:dyDescent="0.25">
      <c r="A61" t="str">
        <f t="shared" si="0"/>
        <v>L130X130X12</v>
      </c>
      <c r="B61" t="s">
        <v>9</v>
      </c>
      <c r="C61">
        <v>130</v>
      </c>
      <c r="D61" t="s">
        <v>10</v>
      </c>
      <c r="E61">
        <v>130</v>
      </c>
      <c r="F61" t="s">
        <v>10</v>
      </c>
      <c r="G61">
        <v>12</v>
      </c>
      <c r="H61">
        <v>23.5</v>
      </c>
      <c r="I61">
        <v>130</v>
      </c>
      <c r="J61">
        <f t="shared" si="1"/>
        <v>130</v>
      </c>
      <c r="K61">
        <v>12</v>
      </c>
      <c r="L61">
        <v>14</v>
      </c>
      <c r="M61">
        <v>7</v>
      </c>
      <c r="N61">
        <v>30</v>
      </c>
      <c r="O61">
        <v>3.64</v>
      </c>
      <c r="P61">
        <f t="shared" si="2"/>
        <v>3.64</v>
      </c>
      <c r="Q61">
        <v>9.19</v>
      </c>
      <c r="R61">
        <v>5.15</v>
      </c>
      <c r="S61">
        <v>4.5999999999999996</v>
      </c>
      <c r="T61">
        <v>0.50800000000000001</v>
      </c>
      <c r="U61">
        <v>21.59</v>
      </c>
    </row>
    <row r="62" spans="1:21" x14ac:dyDescent="0.25">
      <c r="A62" t="str">
        <f t="shared" si="0"/>
        <v>L130X130X13</v>
      </c>
      <c r="B62" t="s">
        <v>9</v>
      </c>
      <c r="C62">
        <v>130</v>
      </c>
      <c r="D62" t="s">
        <v>10</v>
      </c>
      <c r="E62">
        <v>130</v>
      </c>
      <c r="F62" t="s">
        <v>10</v>
      </c>
      <c r="G62">
        <v>13</v>
      </c>
      <c r="H62">
        <v>25.4</v>
      </c>
      <c r="I62">
        <v>130</v>
      </c>
      <c r="J62">
        <f t="shared" si="1"/>
        <v>130</v>
      </c>
      <c r="K62">
        <v>13</v>
      </c>
      <c r="L62">
        <v>14</v>
      </c>
      <c r="M62">
        <v>7</v>
      </c>
      <c r="N62">
        <v>32.299999999999997</v>
      </c>
      <c r="O62">
        <v>3.68</v>
      </c>
      <c r="P62">
        <f t="shared" si="2"/>
        <v>3.68</v>
      </c>
      <c r="Q62">
        <v>9.19</v>
      </c>
      <c r="R62">
        <v>5.2</v>
      </c>
      <c r="S62">
        <v>4.62</v>
      </c>
      <c r="T62">
        <v>0.50800000000000001</v>
      </c>
      <c r="U62">
        <v>20.02</v>
      </c>
    </row>
    <row r="63" spans="1:21" x14ac:dyDescent="0.25">
      <c r="A63" t="str">
        <f t="shared" si="0"/>
        <v>L130X130X14</v>
      </c>
      <c r="B63" t="s">
        <v>9</v>
      </c>
      <c r="C63">
        <v>130</v>
      </c>
      <c r="D63" t="s">
        <v>10</v>
      </c>
      <c r="E63">
        <v>130</v>
      </c>
      <c r="F63" t="s">
        <v>10</v>
      </c>
      <c r="G63">
        <v>14</v>
      </c>
      <c r="H63">
        <v>27.2</v>
      </c>
      <c r="I63">
        <v>130</v>
      </c>
      <c r="J63">
        <f t="shared" si="1"/>
        <v>130</v>
      </c>
      <c r="K63">
        <v>14</v>
      </c>
      <c r="L63">
        <v>14</v>
      </c>
      <c r="M63">
        <v>7</v>
      </c>
      <c r="N63">
        <v>34.700000000000003</v>
      </c>
      <c r="O63">
        <v>3.72</v>
      </c>
      <c r="P63">
        <f t="shared" si="2"/>
        <v>3.72</v>
      </c>
      <c r="Q63">
        <v>9.19</v>
      </c>
      <c r="R63">
        <v>5.26</v>
      </c>
      <c r="S63">
        <v>4.63</v>
      </c>
      <c r="T63">
        <v>0.50800000000000001</v>
      </c>
      <c r="U63">
        <v>18.68</v>
      </c>
    </row>
    <row r="64" spans="1:21" x14ac:dyDescent="0.25">
      <c r="A64" t="str">
        <f t="shared" si="0"/>
        <v>L130X130X16</v>
      </c>
      <c r="B64" t="s">
        <v>9</v>
      </c>
      <c r="C64">
        <v>130</v>
      </c>
      <c r="D64" t="s">
        <v>10</v>
      </c>
      <c r="E64">
        <v>130</v>
      </c>
      <c r="F64" t="s">
        <v>10</v>
      </c>
      <c r="G64">
        <v>16</v>
      </c>
      <c r="H64">
        <v>30.8</v>
      </c>
      <c r="I64">
        <v>130</v>
      </c>
      <c r="J64">
        <f t="shared" si="1"/>
        <v>130</v>
      </c>
      <c r="K64">
        <v>16</v>
      </c>
      <c r="L64">
        <v>14</v>
      </c>
      <c r="M64">
        <v>7</v>
      </c>
      <c r="N64">
        <v>39.299999999999997</v>
      </c>
      <c r="O64">
        <v>3.8</v>
      </c>
      <c r="P64">
        <f t="shared" si="2"/>
        <v>3.8</v>
      </c>
      <c r="Q64">
        <v>9.19</v>
      </c>
      <c r="R64">
        <v>5.37</v>
      </c>
      <c r="S64">
        <v>4.66</v>
      </c>
      <c r="T64">
        <v>0.50800000000000001</v>
      </c>
      <c r="U64">
        <v>16.489999999999998</v>
      </c>
    </row>
    <row r="65" spans="1:21" x14ac:dyDescent="0.25">
      <c r="A65" t="str">
        <f t="shared" si="0"/>
        <v>L150X150X10</v>
      </c>
      <c r="B65" t="s">
        <v>9</v>
      </c>
      <c r="C65">
        <v>150</v>
      </c>
      <c r="D65" t="s">
        <v>10</v>
      </c>
      <c r="E65">
        <v>150</v>
      </c>
      <c r="F65" t="s">
        <v>10</v>
      </c>
      <c r="G65">
        <v>10</v>
      </c>
      <c r="H65">
        <v>23</v>
      </c>
      <c r="I65">
        <v>150</v>
      </c>
      <c r="J65">
        <f t="shared" si="1"/>
        <v>150</v>
      </c>
      <c r="K65">
        <v>10</v>
      </c>
      <c r="L65">
        <v>16</v>
      </c>
      <c r="M65">
        <v>8</v>
      </c>
      <c r="N65">
        <v>29.3</v>
      </c>
      <c r="O65">
        <v>4.03</v>
      </c>
      <c r="P65">
        <f t="shared" si="2"/>
        <v>4.03</v>
      </c>
      <c r="Q65">
        <v>10.61</v>
      </c>
      <c r="R65">
        <v>5.71</v>
      </c>
      <c r="S65">
        <v>5.28</v>
      </c>
      <c r="T65">
        <v>0.58599999999999997</v>
      </c>
      <c r="U65">
        <v>25.51</v>
      </c>
    </row>
    <row r="66" spans="1:21" x14ac:dyDescent="0.25">
      <c r="A66" t="str">
        <f t="shared" si="0"/>
        <v>L150X150X12</v>
      </c>
      <c r="B66" t="s">
        <v>9</v>
      </c>
      <c r="C66">
        <v>150</v>
      </c>
      <c r="D66" t="s">
        <v>10</v>
      </c>
      <c r="E66">
        <v>150</v>
      </c>
      <c r="F66" t="s">
        <v>10</v>
      </c>
      <c r="G66">
        <v>12</v>
      </c>
      <c r="H66">
        <v>27.3</v>
      </c>
      <c r="I66">
        <v>150</v>
      </c>
      <c r="J66">
        <f t="shared" si="1"/>
        <v>150</v>
      </c>
      <c r="K66">
        <v>12</v>
      </c>
      <c r="L66">
        <v>16</v>
      </c>
      <c r="M66">
        <v>8</v>
      </c>
      <c r="N66">
        <v>34.799999999999997</v>
      </c>
      <c r="O66">
        <v>4.12</v>
      </c>
      <c r="P66">
        <f t="shared" si="2"/>
        <v>4.12</v>
      </c>
      <c r="Q66">
        <v>10.61</v>
      </c>
      <c r="R66">
        <v>5.83</v>
      </c>
      <c r="S66">
        <v>5.29</v>
      </c>
      <c r="T66">
        <v>0.58599999999999997</v>
      </c>
      <c r="U66">
        <v>21.44</v>
      </c>
    </row>
    <row r="67" spans="1:21" x14ac:dyDescent="0.25">
      <c r="A67" t="str">
        <f t="shared" si="0"/>
        <v>L150X150X14</v>
      </c>
      <c r="B67" t="s">
        <v>9</v>
      </c>
      <c r="C67">
        <v>150</v>
      </c>
      <c r="D67" t="s">
        <v>10</v>
      </c>
      <c r="E67">
        <v>150</v>
      </c>
      <c r="F67" t="s">
        <v>10</v>
      </c>
      <c r="G67">
        <v>14</v>
      </c>
      <c r="H67">
        <v>31.6</v>
      </c>
      <c r="I67">
        <v>150</v>
      </c>
      <c r="J67">
        <f t="shared" si="1"/>
        <v>150</v>
      </c>
      <c r="K67">
        <v>14</v>
      </c>
      <c r="L67">
        <v>16</v>
      </c>
      <c r="M67">
        <v>8</v>
      </c>
      <c r="N67">
        <v>40.299999999999997</v>
      </c>
      <c r="O67">
        <v>4.21</v>
      </c>
      <c r="P67">
        <f t="shared" si="2"/>
        <v>4.21</v>
      </c>
      <c r="Q67">
        <v>10.61</v>
      </c>
      <c r="R67">
        <v>5.95</v>
      </c>
      <c r="S67">
        <v>5.32</v>
      </c>
      <c r="T67">
        <v>0.58599999999999997</v>
      </c>
      <c r="U67">
        <v>18.53</v>
      </c>
    </row>
    <row r="68" spans="1:21" x14ac:dyDescent="0.25">
      <c r="A68" t="str">
        <f t="shared" si="0"/>
        <v>L150X150X15</v>
      </c>
      <c r="B68" t="s">
        <v>9</v>
      </c>
      <c r="C68">
        <v>150</v>
      </c>
      <c r="D68" t="s">
        <v>10</v>
      </c>
      <c r="E68">
        <v>150</v>
      </c>
      <c r="F68" t="s">
        <v>10</v>
      </c>
      <c r="G68">
        <v>15</v>
      </c>
      <c r="H68">
        <v>33.799999999999997</v>
      </c>
      <c r="I68">
        <v>150</v>
      </c>
      <c r="J68">
        <f t="shared" si="1"/>
        <v>150</v>
      </c>
      <c r="K68">
        <v>15</v>
      </c>
      <c r="L68">
        <v>16</v>
      </c>
      <c r="M68">
        <v>8</v>
      </c>
      <c r="N68">
        <v>43</v>
      </c>
      <c r="O68">
        <v>4.25</v>
      </c>
      <c r="P68">
        <f t="shared" si="2"/>
        <v>4.25</v>
      </c>
      <c r="Q68">
        <v>10.61</v>
      </c>
      <c r="R68">
        <v>6.01</v>
      </c>
      <c r="S68">
        <v>5.33</v>
      </c>
      <c r="T68">
        <v>0.58599999999999997</v>
      </c>
      <c r="U68">
        <v>17.36</v>
      </c>
    </row>
    <row r="69" spans="1:21" x14ac:dyDescent="0.25">
      <c r="A69" t="str">
        <f t="shared" si="0"/>
        <v>L150X150X18</v>
      </c>
      <c r="B69" t="s">
        <v>9</v>
      </c>
      <c r="C69">
        <v>150</v>
      </c>
      <c r="D69" t="s">
        <v>10</v>
      </c>
      <c r="E69">
        <v>150</v>
      </c>
      <c r="F69" t="s">
        <v>10</v>
      </c>
      <c r="G69">
        <v>18</v>
      </c>
      <c r="H69">
        <v>40.1</v>
      </c>
      <c r="I69">
        <v>150</v>
      </c>
      <c r="J69">
        <f t="shared" si="1"/>
        <v>150</v>
      </c>
      <c r="K69">
        <v>18</v>
      </c>
      <c r="L69">
        <v>16</v>
      </c>
      <c r="M69">
        <v>8</v>
      </c>
      <c r="N69">
        <v>51</v>
      </c>
      <c r="O69">
        <v>4.37</v>
      </c>
      <c r="P69">
        <f t="shared" si="2"/>
        <v>4.37</v>
      </c>
      <c r="Q69">
        <v>10.61</v>
      </c>
      <c r="R69">
        <v>6.17</v>
      </c>
      <c r="S69">
        <v>5.37</v>
      </c>
      <c r="T69">
        <v>0.58599999999999997</v>
      </c>
      <c r="U69">
        <v>14.63</v>
      </c>
    </row>
    <row r="70" spans="1:21" x14ac:dyDescent="0.25">
      <c r="A70" t="str">
        <f t="shared" si="0"/>
        <v>L160X160X14</v>
      </c>
      <c r="B70" t="s">
        <v>9</v>
      </c>
      <c r="C70">
        <v>160</v>
      </c>
      <c r="D70" t="s">
        <v>10</v>
      </c>
      <c r="E70">
        <v>160</v>
      </c>
      <c r="F70" t="s">
        <v>10</v>
      </c>
      <c r="G70">
        <v>14</v>
      </c>
      <c r="H70">
        <v>33.9</v>
      </c>
      <c r="I70">
        <v>160</v>
      </c>
      <c r="J70">
        <f t="shared" si="1"/>
        <v>160</v>
      </c>
      <c r="K70">
        <v>14</v>
      </c>
      <c r="L70">
        <v>17</v>
      </c>
      <c r="M70">
        <v>8.5</v>
      </c>
      <c r="N70">
        <v>43.2</v>
      </c>
      <c r="O70">
        <v>4.45</v>
      </c>
      <c r="P70">
        <f t="shared" si="2"/>
        <v>4.45</v>
      </c>
      <c r="Q70">
        <v>11.31</v>
      </c>
      <c r="R70">
        <v>6.29</v>
      </c>
      <c r="S70">
        <v>5.66</v>
      </c>
      <c r="T70">
        <v>0.625</v>
      </c>
      <c r="U70">
        <v>18.46</v>
      </c>
    </row>
    <row r="71" spans="1:21" x14ac:dyDescent="0.25">
      <c r="A71" t="str">
        <f t="shared" si="0"/>
        <v>L160X160X15</v>
      </c>
      <c r="B71" t="s">
        <v>9</v>
      </c>
      <c r="C71">
        <v>160</v>
      </c>
      <c r="D71" t="s">
        <v>10</v>
      </c>
      <c r="E71">
        <v>160</v>
      </c>
      <c r="F71" t="s">
        <v>10</v>
      </c>
      <c r="G71">
        <v>15</v>
      </c>
      <c r="H71">
        <v>36.200000000000003</v>
      </c>
      <c r="I71">
        <v>160</v>
      </c>
      <c r="J71">
        <f t="shared" si="1"/>
        <v>160</v>
      </c>
      <c r="K71">
        <v>15</v>
      </c>
      <c r="L71">
        <v>17</v>
      </c>
      <c r="M71">
        <v>8.5</v>
      </c>
      <c r="N71">
        <v>46.1</v>
      </c>
      <c r="O71">
        <v>4.49</v>
      </c>
      <c r="P71">
        <f t="shared" si="2"/>
        <v>4.49</v>
      </c>
      <c r="Q71">
        <v>11.31</v>
      </c>
      <c r="R71">
        <v>6.35</v>
      </c>
      <c r="S71">
        <v>5.67</v>
      </c>
      <c r="T71">
        <v>0.625</v>
      </c>
      <c r="U71">
        <v>17.3</v>
      </c>
    </row>
    <row r="72" spans="1:21" x14ac:dyDescent="0.25">
      <c r="A72" t="str">
        <f t="shared" si="0"/>
        <v>L160X160X16</v>
      </c>
      <c r="B72" t="s">
        <v>9</v>
      </c>
      <c r="C72">
        <v>160</v>
      </c>
      <c r="D72" t="s">
        <v>10</v>
      </c>
      <c r="E72">
        <v>160</v>
      </c>
      <c r="F72" t="s">
        <v>10</v>
      </c>
      <c r="G72">
        <v>16</v>
      </c>
      <c r="H72">
        <v>38.4</v>
      </c>
      <c r="I72">
        <v>160</v>
      </c>
      <c r="J72">
        <f t="shared" si="1"/>
        <v>160</v>
      </c>
      <c r="K72">
        <v>16</v>
      </c>
      <c r="L72">
        <v>17</v>
      </c>
      <c r="M72">
        <v>8.5</v>
      </c>
      <c r="N72">
        <v>49</v>
      </c>
      <c r="O72">
        <v>4.53</v>
      </c>
      <c r="P72">
        <f t="shared" si="2"/>
        <v>4.53</v>
      </c>
      <c r="Q72">
        <v>11.31</v>
      </c>
      <c r="R72">
        <v>6.41</v>
      </c>
      <c r="S72">
        <v>5.69</v>
      </c>
      <c r="T72">
        <v>0.625</v>
      </c>
      <c r="U72">
        <v>16.28</v>
      </c>
    </row>
    <row r="73" spans="1:21" x14ac:dyDescent="0.25">
      <c r="A73" t="str">
        <f t="shared" si="0"/>
        <v>L160X160X17</v>
      </c>
      <c r="B73" t="s">
        <v>9</v>
      </c>
      <c r="C73">
        <v>160</v>
      </c>
      <c r="D73" t="s">
        <v>10</v>
      </c>
      <c r="E73">
        <v>160</v>
      </c>
      <c r="F73" t="s">
        <v>10</v>
      </c>
      <c r="G73">
        <v>17</v>
      </c>
      <c r="H73">
        <v>40.700000000000003</v>
      </c>
      <c r="I73">
        <v>160</v>
      </c>
      <c r="J73">
        <f t="shared" si="1"/>
        <v>160</v>
      </c>
      <c r="K73">
        <v>17</v>
      </c>
      <c r="L73">
        <v>17</v>
      </c>
      <c r="M73">
        <v>8.5</v>
      </c>
      <c r="N73">
        <v>51.8</v>
      </c>
      <c r="O73">
        <v>4.57</v>
      </c>
      <c r="P73">
        <f t="shared" si="2"/>
        <v>4.57</v>
      </c>
      <c r="Q73">
        <v>11.31</v>
      </c>
      <c r="R73">
        <v>6.46</v>
      </c>
      <c r="S73">
        <v>5.7</v>
      </c>
      <c r="T73">
        <v>0.625</v>
      </c>
      <c r="U73">
        <v>15.37</v>
      </c>
    </row>
    <row r="74" spans="1:21" x14ac:dyDescent="0.25">
      <c r="A74" t="str">
        <f t="shared" si="0"/>
        <v>L180X180X13</v>
      </c>
      <c r="B74" t="s">
        <v>9</v>
      </c>
      <c r="C74">
        <v>180</v>
      </c>
      <c r="D74" t="s">
        <v>10</v>
      </c>
      <c r="E74">
        <v>180</v>
      </c>
      <c r="F74" t="s">
        <v>10</v>
      </c>
      <c r="G74">
        <v>13</v>
      </c>
      <c r="H74">
        <v>35.700000000000003</v>
      </c>
      <c r="I74">
        <v>180</v>
      </c>
      <c r="J74">
        <f t="shared" si="1"/>
        <v>180</v>
      </c>
      <c r="K74">
        <v>13</v>
      </c>
      <c r="L74">
        <v>18</v>
      </c>
      <c r="M74">
        <v>9</v>
      </c>
      <c r="N74">
        <v>45.5</v>
      </c>
      <c r="O74">
        <v>4.9000000000000004</v>
      </c>
      <c r="P74">
        <f t="shared" si="2"/>
        <v>4.9000000000000004</v>
      </c>
      <c r="Q74">
        <v>12.73</v>
      </c>
      <c r="R74">
        <v>6.93</v>
      </c>
      <c r="S74">
        <v>6.35</v>
      </c>
      <c r="T74">
        <v>0.70499999999999996</v>
      </c>
      <c r="U74">
        <v>19.739999999999998</v>
      </c>
    </row>
    <row r="75" spans="1:21" x14ac:dyDescent="0.25">
      <c r="A75" t="str">
        <f t="shared" si="0"/>
        <v>L180X180X14</v>
      </c>
      <c r="B75" t="s">
        <v>9</v>
      </c>
      <c r="C75">
        <v>180</v>
      </c>
      <c r="D75" t="s">
        <v>10</v>
      </c>
      <c r="E75">
        <v>180</v>
      </c>
      <c r="F75" t="s">
        <v>10</v>
      </c>
      <c r="G75">
        <v>14</v>
      </c>
      <c r="H75">
        <v>38.299999999999997</v>
      </c>
      <c r="I75">
        <v>180</v>
      </c>
      <c r="J75">
        <f t="shared" si="1"/>
        <v>180</v>
      </c>
      <c r="K75">
        <v>14</v>
      </c>
      <c r="L75">
        <v>18</v>
      </c>
      <c r="M75">
        <v>9</v>
      </c>
      <c r="N75">
        <v>48.8</v>
      </c>
      <c r="O75">
        <v>4.9400000000000004</v>
      </c>
      <c r="P75">
        <f t="shared" si="2"/>
        <v>4.9400000000000004</v>
      </c>
      <c r="Q75">
        <v>12.73</v>
      </c>
      <c r="R75">
        <v>6.99</v>
      </c>
      <c r="S75">
        <v>6.36</v>
      </c>
      <c r="T75">
        <v>0.70499999999999996</v>
      </c>
      <c r="U75">
        <v>18.399999999999999</v>
      </c>
    </row>
    <row r="76" spans="1:21" x14ac:dyDescent="0.25">
      <c r="A76" t="str">
        <f t="shared" si="0"/>
        <v>L180X180X15</v>
      </c>
      <c r="B76" t="s">
        <v>9</v>
      </c>
      <c r="C76">
        <v>180</v>
      </c>
      <c r="D76" t="s">
        <v>10</v>
      </c>
      <c r="E76">
        <v>180</v>
      </c>
      <c r="F76" t="s">
        <v>10</v>
      </c>
      <c r="G76">
        <v>15</v>
      </c>
      <c r="H76">
        <v>40.9</v>
      </c>
      <c r="I76">
        <v>180</v>
      </c>
      <c r="J76">
        <f t="shared" si="1"/>
        <v>180</v>
      </c>
      <c r="K76">
        <v>15</v>
      </c>
      <c r="L76">
        <v>18</v>
      </c>
      <c r="M76">
        <v>9</v>
      </c>
      <c r="N76">
        <v>52.1</v>
      </c>
      <c r="O76">
        <v>4.9800000000000004</v>
      </c>
      <c r="P76">
        <f t="shared" si="2"/>
        <v>4.9800000000000004</v>
      </c>
      <c r="Q76">
        <v>12.73</v>
      </c>
      <c r="R76">
        <v>7.05</v>
      </c>
      <c r="S76">
        <v>6.37</v>
      </c>
      <c r="T76">
        <v>0.70499999999999996</v>
      </c>
      <c r="U76">
        <v>17.23</v>
      </c>
    </row>
    <row r="77" spans="1:21" x14ac:dyDescent="0.25">
      <c r="A77" t="str">
        <f t="shared" si="0"/>
        <v>L180X180X16</v>
      </c>
      <c r="B77" t="s">
        <v>9</v>
      </c>
      <c r="C77">
        <v>180</v>
      </c>
      <c r="D77" t="s">
        <v>10</v>
      </c>
      <c r="E77">
        <v>180</v>
      </c>
      <c r="F77" t="s">
        <v>10</v>
      </c>
      <c r="G77">
        <v>16</v>
      </c>
      <c r="H77">
        <v>43.5</v>
      </c>
      <c r="I77">
        <v>180</v>
      </c>
      <c r="J77">
        <f t="shared" si="1"/>
        <v>180</v>
      </c>
      <c r="K77">
        <v>16</v>
      </c>
      <c r="L77">
        <v>18</v>
      </c>
      <c r="M77">
        <v>9</v>
      </c>
      <c r="N77">
        <v>55.4</v>
      </c>
      <c r="O77">
        <v>5.0199999999999996</v>
      </c>
      <c r="P77">
        <f t="shared" si="2"/>
        <v>5.0199999999999996</v>
      </c>
      <c r="Q77">
        <v>12.73</v>
      </c>
      <c r="R77">
        <v>7.1</v>
      </c>
      <c r="S77">
        <v>6.38</v>
      </c>
      <c r="T77">
        <v>0.70499999999999996</v>
      </c>
      <c r="U77">
        <v>16.2</v>
      </c>
    </row>
    <row r="78" spans="1:21" x14ac:dyDescent="0.25">
      <c r="A78" t="str">
        <f t="shared" si="0"/>
        <v>L180X180X17</v>
      </c>
      <c r="B78" t="s">
        <v>9</v>
      </c>
      <c r="C78">
        <v>180</v>
      </c>
      <c r="D78" t="s">
        <v>10</v>
      </c>
      <c r="E78">
        <v>180</v>
      </c>
      <c r="F78" t="s">
        <v>10</v>
      </c>
      <c r="G78">
        <v>17</v>
      </c>
      <c r="H78">
        <v>46</v>
      </c>
      <c r="I78">
        <v>180</v>
      </c>
      <c r="J78">
        <f t="shared" si="1"/>
        <v>180</v>
      </c>
      <c r="K78">
        <v>17</v>
      </c>
      <c r="L78">
        <v>18</v>
      </c>
      <c r="M78">
        <v>9</v>
      </c>
      <c r="N78">
        <v>58.7</v>
      </c>
      <c r="O78">
        <v>5.0599999999999996</v>
      </c>
      <c r="P78">
        <f t="shared" si="2"/>
        <v>5.0599999999999996</v>
      </c>
      <c r="Q78">
        <v>12.73</v>
      </c>
      <c r="R78">
        <v>7.16</v>
      </c>
      <c r="S78">
        <v>6.4</v>
      </c>
      <c r="T78">
        <v>0.70499999999999996</v>
      </c>
      <c r="U78">
        <v>15.3</v>
      </c>
    </row>
    <row r="79" spans="1:21" x14ac:dyDescent="0.25">
      <c r="A79" t="str">
        <f t="shared" si="0"/>
        <v>L180X180X18</v>
      </c>
      <c r="B79" t="s">
        <v>9</v>
      </c>
      <c r="C79">
        <v>180</v>
      </c>
      <c r="D79" t="s">
        <v>10</v>
      </c>
      <c r="E79">
        <v>180</v>
      </c>
      <c r="F79" t="s">
        <v>10</v>
      </c>
      <c r="G79">
        <v>18</v>
      </c>
      <c r="H79">
        <v>48.6</v>
      </c>
      <c r="I79">
        <v>180</v>
      </c>
      <c r="J79">
        <f t="shared" si="1"/>
        <v>180</v>
      </c>
      <c r="K79">
        <v>18</v>
      </c>
      <c r="L79">
        <v>18</v>
      </c>
      <c r="M79">
        <v>9</v>
      </c>
      <c r="N79">
        <v>61.9</v>
      </c>
      <c r="O79">
        <v>5.0999999999999996</v>
      </c>
      <c r="P79">
        <f t="shared" si="2"/>
        <v>5.0999999999999996</v>
      </c>
      <c r="Q79">
        <v>12.73</v>
      </c>
      <c r="R79">
        <v>7.22</v>
      </c>
      <c r="S79">
        <v>6.41</v>
      </c>
      <c r="T79">
        <v>0.70499999999999996</v>
      </c>
      <c r="U79">
        <v>14.5</v>
      </c>
    </row>
    <row r="80" spans="1:21" x14ac:dyDescent="0.25">
      <c r="A80" t="str">
        <f t="shared" si="0"/>
        <v>L180X180X19</v>
      </c>
      <c r="B80" t="s">
        <v>9</v>
      </c>
      <c r="C80">
        <v>180</v>
      </c>
      <c r="D80" t="s">
        <v>10</v>
      </c>
      <c r="E80">
        <v>180</v>
      </c>
      <c r="F80" t="s">
        <v>10</v>
      </c>
      <c r="G80">
        <v>19</v>
      </c>
      <c r="H80">
        <v>51.1</v>
      </c>
      <c r="I80">
        <v>180</v>
      </c>
      <c r="J80">
        <f t="shared" si="1"/>
        <v>180</v>
      </c>
      <c r="K80">
        <v>19</v>
      </c>
      <c r="L80">
        <v>18</v>
      </c>
      <c r="M80">
        <v>9</v>
      </c>
      <c r="N80">
        <v>65.099999999999994</v>
      </c>
      <c r="O80">
        <v>5.14</v>
      </c>
      <c r="P80">
        <f t="shared" si="2"/>
        <v>5.14</v>
      </c>
      <c r="Q80">
        <v>12.73</v>
      </c>
      <c r="R80">
        <v>7.27</v>
      </c>
      <c r="S80">
        <v>6.42</v>
      </c>
      <c r="T80">
        <v>0.70499999999999996</v>
      </c>
      <c r="U80">
        <v>13.78</v>
      </c>
    </row>
    <row r="81" spans="1:21" x14ac:dyDescent="0.25">
      <c r="A81" t="str">
        <f t="shared" si="0"/>
        <v>L180X180X20</v>
      </c>
      <c r="B81" t="s">
        <v>9</v>
      </c>
      <c r="C81">
        <v>180</v>
      </c>
      <c r="D81" t="s">
        <v>10</v>
      </c>
      <c r="E81">
        <v>180</v>
      </c>
      <c r="F81" t="s">
        <v>10</v>
      </c>
      <c r="G81">
        <v>20</v>
      </c>
      <c r="H81">
        <v>53.7</v>
      </c>
      <c r="I81">
        <v>180</v>
      </c>
      <c r="J81">
        <f t="shared" si="1"/>
        <v>180</v>
      </c>
      <c r="K81">
        <v>20</v>
      </c>
      <c r="L81">
        <v>18</v>
      </c>
      <c r="M81">
        <v>9</v>
      </c>
      <c r="N81">
        <v>68.3</v>
      </c>
      <c r="O81">
        <v>5.18</v>
      </c>
      <c r="P81">
        <f t="shared" si="2"/>
        <v>5.18</v>
      </c>
      <c r="Q81">
        <v>12.73</v>
      </c>
      <c r="R81">
        <v>7.33</v>
      </c>
      <c r="S81">
        <v>6.44</v>
      </c>
      <c r="T81">
        <v>0.70499999999999996</v>
      </c>
      <c r="U81">
        <v>13.13</v>
      </c>
    </row>
    <row r="82" spans="1:21" x14ac:dyDescent="0.25">
      <c r="A82" t="str">
        <f t="shared" si="0"/>
        <v>L200X200X15</v>
      </c>
      <c r="B82" t="s">
        <v>9</v>
      </c>
      <c r="C82">
        <v>200</v>
      </c>
      <c r="D82" t="s">
        <v>10</v>
      </c>
      <c r="E82">
        <v>200</v>
      </c>
      <c r="F82" t="s">
        <v>10</v>
      </c>
      <c r="G82">
        <v>15</v>
      </c>
      <c r="H82">
        <v>45.6</v>
      </c>
      <c r="I82">
        <v>200</v>
      </c>
      <c r="J82">
        <f t="shared" si="1"/>
        <v>200</v>
      </c>
      <c r="K82">
        <v>15</v>
      </c>
      <c r="L82">
        <v>18</v>
      </c>
      <c r="M82">
        <v>9</v>
      </c>
      <c r="N82">
        <v>58.1</v>
      </c>
      <c r="O82">
        <v>5.48</v>
      </c>
      <c r="P82">
        <f t="shared" si="2"/>
        <v>5.48</v>
      </c>
      <c r="Q82">
        <v>14.14</v>
      </c>
      <c r="R82">
        <v>7.75</v>
      </c>
      <c r="S82">
        <v>7.08</v>
      </c>
      <c r="T82">
        <v>0.78500000000000003</v>
      </c>
      <c r="U82">
        <v>17.2</v>
      </c>
    </row>
    <row r="83" spans="1:21" x14ac:dyDescent="0.25">
      <c r="A83" t="str">
        <f t="shared" si="0"/>
        <v>L200X200X16</v>
      </c>
      <c r="B83" t="s">
        <v>9</v>
      </c>
      <c r="C83">
        <v>200</v>
      </c>
      <c r="D83" t="s">
        <v>10</v>
      </c>
      <c r="E83">
        <v>200</v>
      </c>
      <c r="F83" t="s">
        <v>10</v>
      </c>
      <c r="G83">
        <v>16</v>
      </c>
      <c r="H83">
        <v>48.5</v>
      </c>
      <c r="I83">
        <v>200</v>
      </c>
      <c r="J83">
        <f t="shared" si="1"/>
        <v>200</v>
      </c>
      <c r="K83">
        <v>16</v>
      </c>
      <c r="L83">
        <v>18</v>
      </c>
      <c r="M83">
        <v>9</v>
      </c>
      <c r="N83">
        <v>61.8</v>
      </c>
      <c r="O83">
        <v>5.52</v>
      </c>
      <c r="P83">
        <f t="shared" si="2"/>
        <v>5.52</v>
      </c>
      <c r="Q83">
        <v>14.14</v>
      </c>
      <c r="R83">
        <v>7.81</v>
      </c>
      <c r="S83">
        <v>7.09</v>
      </c>
      <c r="T83">
        <v>0.78500000000000003</v>
      </c>
      <c r="U83">
        <v>16.18</v>
      </c>
    </row>
    <row r="84" spans="1:21" x14ac:dyDescent="0.25">
      <c r="A84" t="str">
        <f t="shared" si="0"/>
        <v>L200X200X17</v>
      </c>
      <c r="B84" t="s">
        <v>9</v>
      </c>
      <c r="C84">
        <v>200</v>
      </c>
      <c r="D84" t="s">
        <v>10</v>
      </c>
      <c r="E84">
        <v>200</v>
      </c>
      <c r="F84" t="s">
        <v>10</v>
      </c>
      <c r="G84">
        <v>17</v>
      </c>
      <c r="H84">
        <v>51.4</v>
      </c>
      <c r="I84">
        <v>200</v>
      </c>
      <c r="J84">
        <f t="shared" si="1"/>
        <v>200</v>
      </c>
      <c r="K84">
        <v>17</v>
      </c>
      <c r="L84">
        <v>18</v>
      </c>
      <c r="M84">
        <v>9</v>
      </c>
      <c r="N84">
        <v>65.5</v>
      </c>
      <c r="O84">
        <v>5.56</v>
      </c>
      <c r="P84">
        <f t="shared" si="2"/>
        <v>5.56</v>
      </c>
      <c r="Q84">
        <v>14.14</v>
      </c>
      <c r="R84">
        <v>7.87</v>
      </c>
      <c r="S84">
        <v>7.1</v>
      </c>
      <c r="T84">
        <v>0.78500000000000003</v>
      </c>
      <c r="U84">
        <v>15.27</v>
      </c>
    </row>
    <row r="85" spans="1:21" x14ac:dyDescent="0.25">
      <c r="A85" t="str">
        <f t="shared" si="0"/>
        <v>L200X200X18</v>
      </c>
      <c r="B85" t="s">
        <v>9</v>
      </c>
      <c r="C85">
        <v>200</v>
      </c>
      <c r="D85" t="s">
        <v>10</v>
      </c>
      <c r="E85">
        <v>200</v>
      </c>
      <c r="F85" t="s">
        <v>10</v>
      </c>
      <c r="G85">
        <v>18</v>
      </c>
      <c r="H85">
        <v>54.2</v>
      </c>
      <c r="I85">
        <v>200</v>
      </c>
      <c r="J85">
        <f t="shared" si="1"/>
        <v>200</v>
      </c>
      <c r="K85">
        <v>18</v>
      </c>
      <c r="L85">
        <v>18</v>
      </c>
      <c r="M85">
        <v>9</v>
      </c>
      <c r="N85">
        <v>69.099999999999994</v>
      </c>
      <c r="O85">
        <v>5.6</v>
      </c>
      <c r="P85">
        <f t="shared" si="2"/>
        <v>5.6</v>
      </c>
      <c r="Q85">
        <v>14.14</v>
      </c>
      <c r="R85">
        <v>7.93</v>
      </c>
      <c r="S85">
        <v>7.12</v>
      </c>
      <c r="T85">
        <v>0.78500000000000003</v>
      </c>
      <c r="U85">
        <v>14.46</v>
      </c>
    </row>
    <row r="86" spans="1:21" x14ac:dyDescent="0.25">
      <c r="A86" t="str">
        <f t="shared" si="0"/>
        <v>L200X200X19</v>
      </c>
      <c r="B86" t="s">
        <v>9</v>
      </c>
      <c r="C86">
        <v>200</v>
      </c>
      <c r="D86" t="s">
        <v>10</v>
      </c>
      <c r="E86">
        <v>200</v>
      </c>
      <c r="F86" t="s">
        <v>10</v>
      </c>
      <c r="G86">
        <v>19</v>
      </c>
      <c r="H86">
        <v>57.1</v>
      </c>
      <c r="I86">
        <v>200</v>
      </c>
      <c r="J86">
        <f t="shared" si="1"/>
        <v>200</v>
      </c>
      <c r="K86">
        <v>19</v>
      </c>
      <c r="L86">
        <v>18</v>
      </c>
      <c r="M86">
        <v>9</v>
      </c>
      <c r="N86">
        <v>72.7</v>
      </c>
      <c r="O86">
        <v>5.64</v>
      </c>
      <c r="P86">
        <f t="shared" si="2"/>
        <v>5.64</v>
      </c>
      <c r="Q86">
        <v>14.14</v>
      </c>
      <c r="R86">
        <v>7.98</v>
      </c>
      <c r="S86">
        <v>7.13</v>
      </c>
      <c r="T86">
        <v>0.78500000000000003</v>
      </c>
      <c r="U86">
        <v>13.74</v>
      </c>
    </row>
    <row r="87" spans="1:21" x14ac:dyDescent="0.25">
      <c r="A87" t="str">
        <f t="shared" si="0"/>
        <v>L200X200X20</v>
      </c>
      <c r="B87" t="s">
        <v>9</v>
      </c>
      <c r="C87">
        <v>200</v>
      </c>
      <c r="D87" t="s">
        <v>10</v>
      </c>
      <c r="E87">
        <v>200</v>
      </c>
      <c r="F87" t="s">
        <v>10</v>
      </c>
      <c r="G87">
        <v>20</v>
      </c>
      <c r="H87">
        <v>59.9</v>
      </c>
      <c r="I87">
        <v>200</v>
      </c>
      <c r="J87">
        <f t="shared" si="1"/>
        <v>200</v>
      </c>
      <c r="K87">
        <v>20</v>
      </c>
      <c r="L87">
        <v>18</v>
      </c>
      <c r="M87">
        <v>9</v>
      </c>
      <c r="N87">
        <v>76.3</v>
      </c>
      <c r="O87">
        <v>5.68</v>
      </c>
      <c r="P87">
        <f t="shared" si="2"/>
        <v>5.68</v>
      </c>
      <c r="Q87">
        <v>14.14</v>
      </c>
      <c r="R87">
        <v>8.0399999999999991</v>
      </c>
      <c r="S87">
        <v>7.15</v>
      </c>
      <c r="T87">
        <v>0.78500000000000003</v>
      </c>
      <c r="U87">
        <v>13.09</v>
      </c>
    </row>
    <row r="88" spans="1:21" x14ac:dyDescent="0.25">
      <c r="A88" t="str">
        <f t="shared" si="0"/>
        <v>L200X200X21</v>
      </c>
      <c r="B88" t="s">
        <v>9</v>
      </c>
      <c r="C88">
        <v>200</v>
      </c>
      <c r="D88" t="s">
        <v>10</v>
      </c>
      <c r="E88">
        <v>200</v>
      </c>
      <c r="F88" t="s">
        <v>10</v>
      </c>
      <c r="G88">
        <v>21</v>
      </c>
      <c r="H88">
        <v>62.8</v>
      </c>
      <c r="I88">
        <v>200</v>
      </c>
      <c r="J88">
        <f t="shared" si="1"/>
        <v>200</v>
      </c>
      <c r="K88">
        <v>21</v>
      </c>
      <c r="L88">
        <v>18</v>
      </c>
      <c r="M88">
        <v>9</v>
      </c>
      <c r="N88">
        <v>79.900000000000006</v>
      </c>
      <c r="O88">
        <v>5.72</v>
      </c>
      <c r="P88">
        <f t="shared" si="2"/>
        <v>5.72</v>
      </c>
      <c r="Q88">
        <v>14.14</v>
      </c>
      <c r="R88">
        <v>8.09</v>
      </c>
      <c r="S88">
        <v>7.16</v>
      </c>
      <c r="T88">
        <v>0.78500000000000003</v>
      </c>
      <c r="U88">
        <v>12.5</v>
      </c>
    </row>
    <row r="89" spans="1:21" x14ac:dyDescent="0.25">
      <c r="A89" t="str">
        <f t="shared" si="0"/>
        <v>L200X200X22</v>
      </c>
      <c r="B89" t="s">
        <v>9</v>
      </c>
      <c r="C89">
        <v>200</v>
      </c>
      <c r="D89" t="s">
        <v>10</v>
      </c>
      <c r="E89">
        <v>200</v>
      </c>
      <c r="F89" t="s">
        <v>10</v>
      </c>
      <c r="G89">
        <v>22</v>
      </c>
      <c r="H89">
        <v>65.599999999999994</v>
      </c>
      <c r="I89">
        <v>200</v>
      </c>
      <c r="J89">
        <f t="shared" si="1"/>
        <v>200</v>
      </c>
      <c r="K89">
        <v>22</v>
      </c>
      <c r="L89">
        <v>18</v>
      </c>
      <c r="M89">
        <v>9</v>
      </c>
      <c r="N89">
        <v>83.5</v>
      </c>
      <c r="O89">
        <v>5.76</v>
      </c>
      <c r="P89">
        <f t="shared" si="2"/>
        <v>5.76</v>
      </c>
      <c r="Q89">
        <v>14.14</v>
      </c>
      <c r="R89">
        <v>8.15</v>
      </c>
      <c r="S89">
        <v>7.18</v>
      </c>
      <c r="T89">
        <v>0.78500000000000003</v>
      </c>
      <c r="U89">
        <v>11.97</v>
      </c>
    </row>
    <row r="90" spans="1:21" x14ac:dyDescent="0.25">
      <c r="A90" t="str">
        <f t="shared" si="0"/>
        <v>L200X200X23</v>
      </c>
      <c r="B90" t="s">
        <v>9</v>
      </c>
      <c r="C90">
        <v>200</v>
      </c>
      <c r="D90" t="s">
        <v>10</v>
      </c>
      <c r="E90">
        <v>200</v>
      </c>
      <c r="F90" t="s">
        <v>10</v>
      </c>
      <c r="G90">
        <v>23</v>
      </c>
      <c r="H90">
        <v>68.3</v>
      </c>
      <c r="I90">
        <v>200</v>
      </c>
      <c r="J90">
        <f t="shared" si="1"/>
        <v>200</v>
      </c>
      <c r="K90">
        <v>23</v>
      </c>
      <c r="L90">
        <v>18</v>
      </c>
      <c r="M90">
        <v>9</v>
      </c>
      <c r="N90">
        <v>87.1</v>
      </c>
      <c r="O90">
        <v>5.8</v>
      </c>
      <c r="P90">
        <f t="shared" si="2"/>
        <v>5.8</v>
      </c>
      <c r="Q90">
        <v>14.14</v>
      </c>
      <c r="R90">
        <v>8.1999999999999993</v>
      </c>
      <c r="S90">
        <v>7.19</v>
      </c>
      <c r="T90">
        <v>0.78500000000000003</v>
      </c>
      <c r="U90">
        <v>11.48</v>
      </c>
    </row>
    <row r="91" spans="1:21" x14ac:dyDescent="0.25">
      <c r="A91" t="str">
        <f t="shared" si="0"/>
        <v>L200X200X24</v>
      </c>
      <c r="B91" t="s">
        <v>9</v>
      </c>
      <c r="C91">
        <v>200</v>
      </c>
      <c r="D91" t="s">
        <v>10</v>
      </c>
      <c r="E91">
        <v>200</v>
      </c>
      <c r="F91" t="s">
        <v>10</v>
      </c>
      <c r="G91">
        <v>24</v>
      </c>
      <c r="H91">
        <v>71.099999999999994</v>
      </c>
      <c r="I91">
        <v>200</v>
      </c>
      <c r="J91">
        <f t="shared" si="1"/>
        <v>200</v>
      </c>
      <c r="K91">
        <v>24</v>
      </c>
      <c r="L91">
        <v>18</v>
      </c>
      <c r="M91">
        <v>9</v>
      </c>
      <c r="N91">
        <v>90.6</v>
      </c>
      <c r="O91">
        <v>5.84</v>
      </c>
      <c r="P91">
        <f t="shared" si="2"/>
        <v>5.84</v>
      </c>
      <c r="Q91">
        <v>14.14</v>
      </c>
      <c r="R91">
        <v>8.26</v>
      </c>
      <c r="S91">
        <v>7.21</v>
      </c>
      <c r="T91">
        <v>0.78500000000000003</v>
      </c>
      <c r="U91">
        <v>11.03</v>
      </c>
    </row>
    <row r="92" spans="1:21" x14ac:dyDescent="0.25">
      <c r="A92" t="str">
        <f t="shared" si="0"/>
        <v>L200X200X25</v>
      </c>
      <c r="B92" t="s">
        <v>9</v>
      </c>
      <c r="C92">
        <v>200</v>
      </c>
      <c r="D92" t="s">
        <v>10</v>
      </c>
      <c r="E92">
        <v>200</v>
      </c>
      <c r="F92" t="s">
        <v>10</v>
      </c>
      <c r="G92">
        <v>25</v>
      </c>
      <c r="H92">
        <v>73.900000000000006</v>
      </c>
      <c r="I92">
        <v>200</v>
      </c>
      <c r="J92">
        <f t="shared" si="1"/>
        <v>200</v>
      </c>
      <c r="K92">
        <v>25</v>
      </c>
      <c r="L92">
        <v>18</v>
      </c>
      <c r="M92">
        <v>9</v>
      </c>
      <c r="N92">
        <v>94.1</v>
      </c>
      <c r="O92">
        <v>5.88</v>
      </c>
      <c r="P92">
        <f t="shared" si="2"/>
        <v>5.88</v>
      </c>
      <c r="Q92">
        <v>14.14</v>
      </c>
      <c r="R92">
        <v>8.31</v>
      </c>
      <c r="S92">
        <v>7.23</v>
      </c>
      <c r="T92">
        <v>0.78500000000000003</v>
      </c>
      <c r="U92">
        <v>10.62</v>
      </c>
    </row>
    <row r="93" spans="1:21" x14ac:dyDescent="0.25">
      <c r="A93" t="str">
        <f t="shared" si="0"/>
        <v>L200X200X26</v>
      </c>
      <c r="B93" t="s">
        <v>9</v>
      </c>
      <c r="C93">
        <v>200</v>
      </c>
      <c r="D93" t="s">
        <v>10</v>
      </c>
      <c r="E93">
        <v>200</v>
      </c>
      <c r="F93" t="s">
        <v>10</v>
      </c>
      <c r="G93">
        <v>26</v>
      </c>
      <c r="H93">
        <v>76.599999999999994</v>
      </c>
      <c r="I93">
        <v>200</v>
      </c>
      <c r="J93">
        <f t="shared" si="1"/>
        <v>200</v>
      </c>
      <c r="K93">
        <v>26</v>
      </c>
      <c r="L93">
        <v>18</v>
      </c>
      <c r="M93">
        <v>9</v>
      </c>
      <c r="N93">
        <v>97.6</v>
      </c>
      <c r="O93">
        <v>5.91</v>
      </c>
      <c r="P93">
        <f t="shared" si="2"/>
        <v>5.91</v>
      </c>
      <c r="Q93">
        <v>14.14</v>
      </c>
      <c r="R93">
        <v>8.36</v>
      </c>
      <c r="S93">
        <v>7.25</v>
      </c>
      <c r="T93">
        <v>0.78500000000000003</v>
      </c>
      <c r="U93">
        <v>10.24</v>
      </c>
    </row>
    <row r="94" spans="1:21" x14ac:dyDescent="0.25">
      <c r="A94" t="str">
        <f t="shared" si="0"/>
        <v>L250X250X20</v>
      </c>
      <c r="B94" t="s">
        <v>9</v>
      </c>
      <c r="C94">
        <v>250</v>
      </c>
      <c r="D94" t="s">
        <v>10</v>
      </c>
      <c r="E94">
        <v>250</v>
      </c>
      <c r="F94" t="s">
        <v>10</v>
      </c>
      <c r="G94">
        <v>20</v>
      </c>
      <c r="H94">
        <v>75.599999999999994</v>
      </c>
      <c r="I94">
        <v>250</v>
      </c>
      <c r="J94">
        <f t="shared" si="1"/>
        <v>250</v>
      </c>
      <c r="K94">
        <v>20</v>
      </c>
      <c r="L94">
        <v>18</v>
      </c>
      <c r="M94">
        <v>9</v>
      </c>
      <c r="N94">
        <v>96.3</v>
      </c>
      <c r="O94">
        <v>6.93</v>
      </c>
      <c r="P94">
        <f t="shared" si="2"/>
        <v>6.93</v>
      </c>
      <c r="Q94">
        <v>17.68</v>
      </c>
      <c r="R94">
        <v>9.81</v>
      </c>
      <c r="S94">
        <v>8.91</v>
      </c>
      <c r="T94">
        <v>0.98499999999999999</v>
      </c>
      <c r="U94">
        <v>13.02</v>
      </c>
    </row>
    <row r="95" spans="1:21" x14ac:dyDescent="0.25">
      <c r="A95" t="str">
        <f t="shared" si="0"/>
        <v>L250X250X21</v>
      </c>
      <c r="B95" t="s">
        <v>9</v>
      </c>
      <c r="C95">
        <v>250</v>
      </c>
      <c r="D95" t="s">
        <v>10</v>
      </c>
      <c r="E95">
        <v>250</v>
      </c>
      <c r="F95" t="s">
        <v>10</v>
      </c>
      <c r="G95">
        <v>21</v>
      </c>
      <c r="H95">
        <v>79.2</v>
      </c>
      <c r="I95">
        <v>250</v>
      </c>
      <c r="J95">
        <f t="shared" si="1"/>
        <v>250</v>
      </c>
      <c r="K95">
        <v>21</v>
      </c>
      <c r="L95">
        <v>18</v>
      </c>
      <c r="M95">
        <v>9</v>
      </c>
      <c r="N95">
        <v>101</v>
      </c>
      <c r="O95">
        <v>6.97</v>
      </c>
      <c r="P95">
        <f t="shared" si="2"/>
        <v>6.97</v>
      </c>
      <c r="Q95">
        <v>17.68</v>
      </c>
      <c r="R95">
        <v>9.86</v>
      </c>
      <c r="S95">
        <v>8.93</v>
      </c>
      <c r="T95">
        <v>0.98499999999999999</v>
      </c>
      <c r="U95">
        <v>12.43</v>
      </c>
    </row>
    <row r="96" spans="1:21" x14ac:dyDescent="0.25">
      <c r="A96" t="str">
        <f t="shared" si="0"/>
        <v>L250X250X22</v>
      </c>
      <c r="B96" t="s">
        <v>9</v>
      </c>
      <c r="C96">
        <v>250</v>
      </c>
      <c r="D96" t="s">
        <v>10</v>
      </c>
      <c r="E96">
        <v>250</v>
      </c>
      <c r="F96" t="s">
        <v>10</v>
      </c>
      <c r="G96">
        <v>22</v>
      </c>
      <c r="H96">
        <v>82.8</v>
      </c>
      <c r="I96">
        <v>250</v>
      </c>
      <c r="J96">
        <f t="shared" si="1"/>
        <v>250</v>
      </c>
      <c r="K96">
        <v>22</v>
      </c>
      <c r="L96">
        <v>18</v>
      </c>
      <c r="M96">
        <v>9</v>
      </c>
      <c r="N96">
        <v>106</v>
      </c>
      <c r="O96">
        <v>7.01</v>
      </c>
      <c r="P96">
        <f t="shared" si="2"/>
        <v>7.01</v>
      </c>
      <c r="Q96">
        <v>17.68</v>
      </c>
      <c r="R96">
        <v>9.92</v>
      </c>
      <c r="S96">
        <v>8.94</v>
      </c>
      <c r="T96">
        <v>0.98499999999999999</v>
      </c>
      <c r="U96">
        <v>11.89</v>
      </c>
    </row>
    <row r="97" spans="1:23" x14ac:dyDescent="0.25">
      <c r="A97" t="str">
        <f t="shared" si="0"/>
        <v>L250X250X23</v>
      </c>
      <c r="B97" t="s">
        <v>9</v>
      </c>
      <c r="C97">
        <v>250</v>
      </c>
      <c r="D97" t="s">
        <v>10</v>
      </c>
      <c r="E97">
        <v>250</v>
      </c>
      <c r="F97" t="s">
        <v>10</v>
      </c>
      <c r="G97">
        <v>23</v>
      </c>
      <c r="H97">
        <v>86.4</v>
      </c>
      <c r="I97">
        <v>250</v>
      </c>
      <c r="J97">
        <f t="shared" si="1"/>
        <v>250</v>
      </c>
      <c r="K97">
        <v>23</v>
      </c>
      <c r="L97">
        <v>18</v>
      </c>
      <c r="M97">
        <v>9</v>
      </c>
      <c r="N97">
        <v>110</v>
      </c>
      <c r="O97">
        <v>7.05</v>
      </c>
      <c r="P97">
        <f t="shared" si="2"/>
        <v>7.05</v>
      </c>
      <c r="Q97">
        <v>17.68</v>
      </c>
      <c r="R97">
        <v>9.9700000000000006</v>
      </c>
      <c r="S97">
        <v>8.9600000000000009</v>
      </c>
      <c r="T97">
        <v>0.98499999999999999</v>
      </c>
      <c r="U97">
        <v>11.4</v>
      </c>
    </row>
    <row r="98" spans="1:23" x14ac:dyDescent="0.25">
      <c r="A98" t="str">
        <f t="shared" si="0"/>
        <v>L250X250X24</v>
      </c>
      <c r="B98" t="s">
        <v>9</v>
      </c>
      <c r="C98">
        <v>250</v>
      </c>
      <c r="D98" t="s">
        <v>10</v>
      </c>
      <c r="E98">
        <v>250</v>
      </c>
      <c r="F98" t="s">
        <v>10</v>
      </c>
      <c r="G98">
        <v>24</v>
      </c>
      <c r="H98">
        <v>90</v>
      </c>
      <c r="I98">
        <v>250</v>
      </c>
      <c r="J98">
        <f t="shared" si="1"/>
        <v>250</v>
      </c>
      <c r="K98">
        <v>24</v>
      </c>
      <c r="L98">
        <v>18</v>
      </c>
      <c r="M98">
        <v>9</v>
      </c>
      <c r="N98">
        <v>115</v>
      </c>
      <c r="O98">
        <v>7.09</v>
      </c>
      <c r="P98">
        <f t="shared" si="2"/>
        <v>7.09</v>
      </c>
      <c r="Q98">
        <v>17.68</v>
      </c>
      <c r="R98">
        <v>10.029999999999999</v>
      </c>
      <c r="S98">
        <v>8.98</v>
      </c>
      <c r="T98">
        <v>0.98499999999999999</v>
      </c>
      <c r="U98">
        <v>10.95</v>
      </c>
    </row>
    <row r="99" spans="1:23" x14ac:dyDescent="0.25">
      <c r="A99" t="str">
        <f t="shared" si="0"/>
        <v>L250X250X25</v>
      </c>
      <c r="B99" t="s">
        <v>9</v>
      </c>
      <c r="C99">
        <v>250</v>
      </c>
      <c r="D99" t="s">
        <v>10</v>
      </c>
      <c r="E99">
        <v>250</v>
      </c>
      <c r="F99" t="s">
        <v>10</v>
      </c>
      <c r="G99">
        <v>25</v>
      </c>
      <c r="H99">
        <v>93.5</v>
      </c>
      <c r="I99">
        <v>250</v>
      </c>
      <c r="J99">
        <f t="shared" si="1"/>
        <v>250</v>
      </c>
      <c r="K99">
        <v>25</v>
      </c>
      <c r="L99">
        <v>18</v>
      </c>
      <c r="M99">
        <v>9</v>
      </c>
      <c r="N99">
        <v>119</v>
      </c>
      <c r="O99">
        <v>7.13</v>
      </c>
      <c r="P99">
        <f t="shared" si="2"/>
        <v>7.13</v>
      </c>
      <c r="Q99">
        <v>17.68</v>
      </c>
      <c r="R99">
        <v>10.08</v>
      </c>
      <c r="S99">
        <v>8.99</v>
      </c>
      <c r="T99">
        <v>0.98499999999999999</v>
      </c>
      <c r="U99">
        <v>10.53</v>
      </c>
    </row>
    <row r="100" spans="1:23" x14ac:dyDescent="0.25">
      <c r="A100" t="str">
        <f t="shared" si="0"/>
        <v>L250X250X26</v>
      </c>
      <c r="B100" t="s">
        <v>9</v>
      </c>
      <c r="C100">
        <v>250</v>
      </c>
      <c r="D100" t="s">
        <v>10</v>
      </c>
      <c r="E100">
        <v>250</v>
      </c>
      <c r="F100" t="s">
        <v>10</v>
      </c>
      <c r="G100">
        <v>26</v>
      </c>
      <c r="H100">
        <v>97</v>
      </c>
      <c r="I100">
        <v>250</v>
      </c>
      <c r="J100">
        <f t="shared" si="1"/>
        <v>250</v>
      </c>
      <c r="K100">
        <v>26</v>
      </c>
      <c r="L100">
        <v>18</v>
      </c>
      <c r="M100">
        <v>9</v>
      </c>
      <c r="N100">
        <v>124</v>
      </c>
      <c r="O100">
        <v>7.17</v>
      </c>
      <c r="P100">
        <f t="shared" si="2"/>
        <v>7.17</v>
      </c>
      <c r="Q100">
        <v>17.68</v>
      </c>
      <c r="R100">
        <v>10.130000000000001</v>
      </c>
      <c r="S100">
        <v>9.01</v>
      </c>
      <c r="T100">
        <v>0.98499999999999999</v>
      </c>
      <c r="U100">
        <v>10.15</v>
      </c>
    </row>
    <row r="101" spans="1:23" x14ac:dyDescent="0.25">
      <c r="A101" t="str">
        <f t="shared" si="0"/>
        <v>L250X250X27</v>
      </c>
      <c r="B101" t="s">
        <v>9</v>
      </c>
      <c r="C101">
        <v>250</v>
      </c>
      <c r="D101" t="s">
        <v>10</v>
      </c>
      <c r="E101">
        <v>250</v>
      </c>
      <c r="F101" t="s">
        <v>10</v>
      </c>
      <c r="G101">
        <v>27</v>
      </c>
      <c r="H101">
        <v>101</v>
      </c>
      <c r="I101">
        <v>250</v>
      </c>
      <c r="J101">
        <f t="shared" si="1"/>
        <v>250</v>
      </c>
      <c r="K101">
        <v>27</v>
      </c>
      <c r="L101">
        <v>18</v>
      </c>
      <c r="M101">
        <v>9</v>
      </c>
      <c r="N101">
        <v>128</v>
      </c>
      <c r="O101">
        <v>7.2</v>
      </c>
      <c r="P101">
        <f t="shared" si="2"/>
        <v>7.2</v>
      </c>
      <c r="Q101">
        <v>17.68</v>
      </c>
      <c r="R101">
        <v>10.19</v>
      </c>
      <c r="S101">
        <v>9.0299999999999994</v>
      </c>
      <c r="T101">
        <v>0.98499999999999999</v>
      </c>
      <c r="U101">
        <v>9.7899999999999991</v>
      </c>
    </row>
    <row r="102" spans="1:23" x14ac:dyDescent="0.25">
      <c r="A102" t="str">
        <f t="shared" si="0"/>
        <v>L250X250X28</v>
      </c>
      <c r="B102" t="s">
        <v>9</v>
      </c>
      <c r="C102">
        <v>250</v>
      </c>
      <c r="D102" t="s">
        <v>10</v>
      </c>
      <c r="E102">
        <v>250</v>
      </c>
      <c r="F102" t="s">
        <v>10</v>
      </c>
      <c r="G102">
        <v>28</v>
      </c>
      <c r="H102">
        <v>104</v>
      </c>
      <c r="I102">
        <v>250</v>
      </c>
      <c r="J102">
        <f t="shared" si="1"/>
        <v>250</v>
      </c>
      <c r="K102">
        <v>28</v>
      </c>
      <c r="L102">
        <v>18</v>
      </c>
      <c r="M102">
        <v>9</v>
      </c>
      <c r="N102">
        <v>133</v>
      </c>
      <c r="O102">
        <v>7.24</v>
      </c>
      <c r="P102">
        <f t="shared" si="2"/>
        <v>7.24</v>
      </c>
      <c r="Q102">
        <v>17.68</v>
      </c>
      <c r="R102">
        <v>10.24</v>
      </c>
      <c r="S102">
        <v>9.0399999999999991</v>
      </c>
      <c r="T102">
        <v>0.98499999999999999</v>
      </c>
      <c r="U102">
        <v>9.4700000000000006</v>
      </c>
    </row>
    <row r="103" spans="1:23" x14ac:dyDescent="0.25">
      <c r="A103" t="str">
        <f t="shared" si="0"/>
        <v>L250X250X35</v>
      </c>
      <c r="B103" t="s">
        <v>9</v>
      </c>
      <c r="C103">
        <v>250</v>
      </c>
      <c r="D103" t="s">
        <v>10</v>
      </c>
      <c r="E103">
        <v>250</v>
      </c>
      <c r="F103" t="s">
        <v>10</v>
      </c>
      <c r="G103">
        <v>35</v>
      </c>
      <c r="H103">
        <v>128</v>
      </c>
      <c r="I103">
        <v>250</v>
      </c>
      <c r="J103">
        <f t="shared" si="1"/>
        <v>250</v>
      </c>
      <c r="K103">
        <v>35</v>
      </c>
      <c r="L103">
        <v>18</v>
      </c>
      <c r="M103">
        <v>9</v>
      </c>
      <c r="N103">
        <v>163</v>
      </c>
      <c r="O103">
        <v>7.5</v>
      </c>
      <c r="P103">
        <f t="shared" si="2"/>
        <v>7.5</v>
      </c>
      <c r="Q103">
        <v>17.68</v>
      </c>
      <c r="R103">
        <v>10.61</v>
      </c>
      <c r="S103">
        <v>9.17</v>
      </c>
      <c r="T103">
        <v>0.98499999999999999</v>
      </c>
      <c r="U103">
        <v>7.69</v>
      </c>
    </row>
    <row r="104" spans="1:23" x14ac:dyDescent="0.25">
      <c r="A104" t="str">
        <f t="shared" si="0"/>
        <v>L100X65X7</v>
      </c>
      <c r="B104" t="s">
        <v>9</v>
      </c>
      <c r="C104">
        <v>100</v>
      </c>
      <c r="D104" t="s">
        <v>10</v>
      </c>
      <c r="E104">
        <v>65</v>
      </c>
      <c r="F104" t="s">
        <v>10</v>
      </c>
      <c r="G104">
        <v>7</v>
      </c>
      <c r="H104">
        <v>8.77</v>
      </c>
      <c r="I104">
        <v>100</v>
      </c>
      <c r="J104">
        <v>65</v>
      </c>
      <c r="K104">
        <v>7</v>
      </c>
      <c r="L104">
        <v>10</v>
      </c>
      <c r="M104">
        <v>5</v>
      </c>
      <c r="N104">
        <v>11.2</v>
      </c>
      <c r="O104">
        <v>3.23</v>
      </c>
      <c r="P104">
        <v>1.51</v>
      </c>
      <c r="Q104">
        <v>6.83</v>
      </c>
      <c r="R104">
        <v>4.9000000000000004</v>
      </c>
      <c r="S104">
        <v>2.64</v>
      </c>
      <c r="T104">
        <v>3.44</v>
      </c>
      <c r="U104">
        <v>1.66</v>
      </c>
      <c r="V104">
        <v>0.32100000000000001</v>
      </c>
      <c r="W104">
        <v>36.659999999999997</v>
      </c>
    </row>
    <row r="105" spans="1:23" x14ac:dyDescent="0.25">
      <c r="A105" t="str">
        <f t="shared" si="0"/>
        <v>L100X65X8</v>
      </c>
      <c r="B105" t="s">
        <v>9</v>
      </c>
      <c r="C105">
        <v>100</v>
      </c>
      <c r="D105" t="s">
        <v>10</v>
      </c>
      <c r="E105">
        <v>65</v>
      </c>
      <c r="F105" t="s">
        <v>10</v>
      </c>
      <c r="G105">
        <v>8</v>
      </c>
      <c r="H105">
        <v>9.94</v>
      </c>
      <c r="I105">
        <v>100</v>
      </c>
      <c r="J105">
        <v>65</v>
      </c>
      <c r="K105">
        <v>8</v>
      </c>
      <c r="L105">
        <v>10</v>
      </c>
      <c r="M105">
        <v>5</v>
      </c>
      <c r="N105">
        <v>12.7</v>
      </c>
      <c r="O105">
        <v>3.27</v>
      </c>
      <c r="P105">
        <v>1.55</v>
      </c>
      <c r="Q105">
        <v>6.81</v>
      </c>
      <c r="R105">
        <v>4.92</v>
      </c>
      <c r="S105">
        <v>2.69</v>
      </c>
      <c r="T105">
        <v>3.43</v>
      </c>
      <c r="U105">
        <v>1.69</v>
      </c>
      <c r="V105">
        <v>0.32100000000000001</v>
      </c>
      <c r="W105">
        <v>32.32</v>
      </c>
    </row>
    <row r="106" spans="1:23" x14ac:dyDescent="0.25">
      <c r="A106" t="str">
        <f t="shared" si="0"/>
        <v>L100X65X9</v>
      </c>
      <c r="B106" t="s">
        <v>9</v>
      </c>
      <c r="C106">
        <v>100</v>
      </c>
      <c r="D106" t="s">
        <v>10</v>
      </c>
      <c r="E106">
        <v>65</v>
      </c>
      <c r="F106" t="s">
        <v>10</v>
      </c>
      <c r="G106">
        <v>9</v>
      </c>
      <c r="H106">
        <v>11.1</v>
      </c>
      <c r="I106">
        <v>100</v>
      </c>
      <c r="J106">
        <v>65</v>
      </c>
      <c r="K106">
        <v>9</v>
      </c>
      <c r="L106">
        <v>10</v>
      </c>
      <c r="M106">
        <v>5</v>
      </c>
      <c r="N106">
        <v>14.1</v>
      </c>
      <c r="O106">
        <v>3.32</v>
      </c>
      <c r="P106">
        <v>1.59</v>
      </c>
      <c r="Q106">
        <v>6.78</v>
      </c>
      <c r="R106">
        <v>4.9400000000000004</v>
      </c>
      <c r="S106">
        <v>2.74</v>
      </c>
      <c r="T106">
        <v>3.42</v>
      </c>
      <c r="U106">
        <v>1.72</v>
      </c>
      <c r="V106">
        <v>0.32100000000000001</v>
      </c>
      <c r="W106">
        <v>28.94</v>
      </c>
    </row>
    <row r="107" spans="1:23" x14ac:dyDescent="0.25">
      <c r="A107" t="str">
        <f t="shared" si="0"/>
        <v>L100X65X10</v>
      </c>
      <c r="B107" t="s">
        <v>9</v>
      </c>
      <c r="C107">
        <v>100</v>
      </c>
      <c r="D107" t="s">
        <v>10</v>
      </c>
      <c r="E107">
        <v>65</v>
      </c>
      <c r="F107" t="s">
        <v>10</v>
      </c>
      <c r="G107">
        <v>10</v>
      </c>
      <c r="H107">
        <v>12.3</v>
      </c>
      <c r="I107">
        <v>100</v>
      </c>
      <c r="J107">
        <v>65</v>
      </c>
      <c r="K107">
        <v>10</v>
      </c>
      <c r="L107">
        <v>10</v>
      </c>
      <c r="M107">
        <v>5</v>
      </c>
      <c r="N107">
        <v>15.6</v>
      </c>
      <c r="O107">
        <v>3.36</v>
      </c>
      <c r="P107">
        <v>1.63</v>
      </c>
      <c r="Q107">
        <v>6.76</v>
      </c>
      <c r="R107">
        <v>4.96</v>
      </c>
      <c r="S107">
        <v>2.79</v>
      </c>
      <c r="T107">
        <v>3.41</v>
      </c>
      <c r="U107">
        <v>1.75</v>
      </c>
      <c r="V107">
        <v>0.32100000000000001</v>
      </c>
      <c r="W107">
        <v>26.23</v>
      </c>
    </row>
    <row r="108" spans="1:23" x14ac:dyDescent="0.25">
      <c r="A108" t="str">
        <f t="shared" si="0"/>
        <v>L100X65X12</v>
      </c>
      <c r="B108" t="s">
        <v>9</v>
      </c>
      <c r="C108">
        <v>100</v>
      </c>
      <c r="D108" t="s">
        <v>10</v>
      </c>
      <c r="E108">
        <v>65</v>
      </c>
      <c r="F108" t="s">
        <v>10</v>
      </c>
      <c r="G108">
        <v>12</v>
      </c>
      <c r="H108">
        <v>14.5</v>
      </c>
      <c r="I108">
        <v>100</v>
      </c>
      <c r="J108">
        <v>65</v>
      </c>
      <c r="K108">
        <v>12</v>
      </c>
      <c r="L108">
        <v>10</v>
      </c>
      <c r="M108">
        <v>5</v>
      </c>
      <c r="N108">
        <v>18.5</v>
      </c>
      <c r="O108">
        <v>3.44</v>
      </c>
      <c r="P108">
        <v>1.71</v>
      </c>
      <c r="Q108">
        <v>6.72</v>
      </c>
      <c r="R108">
        <v>4.99</v>
      </c>
      <c r="S108">
        <v>2.88</v>
      </c>
      <c r="T108">
        <v>3.4</v>
      </c>
      <c r="U108">
        <v>1.81</v>
      </c>
      <c r="V108">
        <v>0.32100000000000001</v>
      </c>
      <c r="W108">
        <v>22.17</v>
      </c>
    </row>
    <row r="109" spans="1:23" x14ac:dyDescent="0.25">
      <c r="A109" t="str">
        <f t="shared" si="0"/>
        <v>L110X70X10</v>
      </c>
      <c r="B109" t="s">
        <v>9</v>
      </c>
      <c r="C109">
        <v>110</v>
      </c>
      <c r="D109" t="s">
        <v>10</v>
      </c>
      <c r="E109">
        <v>70</v>
      </c>
      <c r="F109" t="s">
        <v>10</v>
      </c>
      <c r="G109">
        <v>10</v>
      </c>
      <c r="H109">
        <v>13.4</v>
      </c>
      <c r="I109">
        <v>110</v>
      </c>
      <c r="J109">
        <v>70</v>
      </c>
      <c r="K109">
        <v>10</v>
      </c>
      <c r="L109">
        <v>10</v>
      </c>
      <c r="M109">
        <v>5</v>
      </c>
      <c r="N109">
        <v>17.100000000000001</v>
      </c>
      <c r="O109">
        <v>3.69</v>
      </c>
      <c r="P109">
        <v>1.72</v>
      </c>
      <c r="Q109">
        <v>7.43</v>
      </c>
      <c r="R109">
        <v>5.38</v>
      </c>
      <c r="S109">
        <v>2.96</v>
      </c>
      <c r="T109">
        <v>3.73</v>
      </c>
      <c r="U109">
        <v>1.84</v>
      </c>
      <c r="V109">
        <v>0.35099999999999998</v>
      </c>
      <c r="W109">
        <v>26.17</v>
      </c>
    </row>
    <row r="110" spans="1:23" x14ac:dyDescent="0.25">
      <c r="A110" t="str">
        <f t="shared" si="0"/>
        <v>L110X70X12</v>
      </c>
      <c r="B110" t="s">
        <v>9</v>
      </c>
      <c r="C110">
        <v>110</v>
      </c>
      <c r="D110" t="s">
        <v>10</v>
      </c>
      <c r="E110">
        <v>70</v>
      </c>
      <c r="F110" t="s">
        <v>10</v>
      </c>
      <c r="G110">
        <v>12</v>
      </c>
      <c r="H110">
        <v>15.9</v>
      </c>
      <c r="I110">
        <v>110</v>
      </c>
      <c r="J110">
        <v>70</v>
      </c>
      <c r="K110">
        <v>12</v>
      </c>
      <c r="L110">
        <v>10</v>
      </c>
      <c r="M110">
        <v>5</v>
      </c>
      <c r="N110">
        <v>20.3</v>
      </c>
      <c r="O110">
        <v>3.77</v>
      </c>
      <c r="P110">
        <v>1.79</v>
      </c>
      <c r="Q110">
        <v>7.38</v>
      </c>
      <c r="R110">
        <v>5.42</v>
      </c>
      <c r="S110">
        <v>3.05</v>
      </c>
      <c r="T110">
        <v>3.72</v>
      </c>
      <c r="U110">
        <v>1.9</v>
      </c>
      <c r="V110">
        <v>0.35099999999999998</v>
      </c>
      <c r="W110">
        <v>22.09</v>
      </c>
    </row>
    <row r="111" spans="1:23" x14ac:dyDescent="0.25">
      <c r="A111" t="str">
        <f t="shared" si="0"/>
        <v>L120X80X8</v>
      </c>
      <c r="B111" t="s">
        <v>9</v>
      </c>
      <c r="C111">
        <v>120</v>
      </c>
      <c r="D111" t="s">
        <v>10</v>
      </c>
      <c r="E111">
        <v>80</v>
      </c>
      <c r="F111" t="s">
        <v>10</v>
      </c>
      <c r="G111">
        <v>8</v>
      </c>
      <c r="H111">
        <v>12.2</v>
      </c>
      <c r="I111">
        <v>120</v>
      </c>
      <c r="J111">
        <v>80</v>
      </c>
      <c r="K111">
        <v>8</v>
      </c>
      <c r="L111">
        <v>11</v>
      </c>
      <c r="M111">
        <v>5.5</v>
      </c>
      <c r="N111">
        <v>15.5</v>
      </c>
      <c r="O111">
        <v>3.83</v>
      </c>
      <c r="P111">
        <v>1.87</v>
      </c>
      <c r="Q111">
        <v>8.23</v>
      </c>
      <c r="R111">
        <v>5.97</v>
      </c>
      <c r="S111">
        <v>3.25</v>
      </c>
      <c r="T111">
        <v>4.1900000000000004</v>
      </c>
      <c r="U111">
        <v>2.09</v>
      </c>
      <c r="V111">
        <v>0.39100000000000001</v>
      </c>
      <c r="W111">
        <v>32.119999999999997</v>
      </c>
    </row>
    <row r="112" spans="1:23" x14ac:dyDescent="0.25">
      <c r="A112" t="str">
        <f t="shared" si="0"/>
        <v>L120X80X10</v>
      </c>
      <c r="B112" t="s">
        <v>9</v>
      </c>
      <c r="C112">
        <v>120</v>
      </c>
      <c r="D112" t="s">
        <v>10</v>
      </c>
      <c r="E112">
        <v>80</v>
      </c>
      <c r="F112" t="s">
        <v>10</v>
      </c>
      <c r="G112">
        <v>10</v>
      </c>
      <c r="H112">
        <v>15</v>
      </c>
      <c r="I112">
        <v>120</v>
      </c>
      <c r="J112">
        <v>80</v>
      </c>
      <c r="K112">
        <v>10</v>
      </c>
      <c r="L112">
        <v>11</v>
      </c>
      <c r="M112">
        <v>5.5</v>
      </c>
      <c r="N112">
        <v>19.100000000000001</v>
      </c>
      <c r="O112">
        <v>3.92</v>
      </c>
      <c r="P112">
        <v>1.95</v>
      </c>
      <c r="Q112">
        <v>8.19</v>
      </c>
      <c r="R112">
        <v>6.01</v>
      </c>
      <c r="S112">
        <v>3.35</v>
      </c>
      <c r="T112">
        <v>4.17</v>
      </c>
      <c r="U112">
        <v>2.15</v>
      </c>
      <c r="V112">
        <v>0.39100000000000001</v>
      </c>
      <c r="W112">
        <v>26.01</v>
      </c>
    </row>
    <row r="113" spans="1:23" x14ac:dyDescent="0.25">
      <c r="A113" t="str">
        <f t="shared" si="0"/>
        <v>L120X80X12</v>
      </c>
      <c r="B113" t="s">
        <v>9</v>
      </c>
      <c r="C113">
        <v>120</v>
      </c>
      <c r="D113" t="s">
        <v>10</v>
      </c>
      <c r="E113">
        <v>80</v>
      </c>
      <c r="F113" t="s">
        <v>10</v>
      </c>
      <c r="G113">
        <v>12</v>
      </c>
      <c r="H113">
        <v>17.8</v>
      </c>
      <c r="I113">
        <v>120</v>
      </c>
      <c r="J113">
        <v>80</v>
      </c>
      <c r="K113">
        <v>12</v>
      </c>
      <c r="L113">
        <v>11</v>
      </c>
      <c r="M113">
        <v>5.5</v>
      </c>
      <c r="N113">
        <v>22.7</v>
      </c>
      <c r="O113">
        <v>4</v>
      </c>
      <c r="P113">
        <v>2.0299999999999998</v>
      </c>
      <c r="Q113">
        <v>8.14</v>
      </c>
      <c r="R113">
        <v>6.04</v>
      </c>
      <c r="S113">
        <v>3.45</v>
      </c>
      <c r="T113">
        <v>4.16</v>
      </c>
      <c r="U113">
        <v>2.2000000000000002</v>
      </c>
      <c r="V113">
        <v>0.39100000000000001</v>
      </c>
      <c r="W113">
        <v>21.93</v>
      </c>
    </row>
    <row r="114" spans="1:23" x14ac:dyDescent="0.25">
      <c r="A114" t="str">
        <f t="shared" si="0"/>
        <v>L125X75X8</v>
      </c>
      <c r="B114" t="s">
        <v>9</v>
      </c>
      <c r="C114">
        <v>125</v>
      </c>
      <c r="D114" t="s">
        <v>10</v>
      </c>
      <c r="E114">
        <v>75</v>
      </c>
      <c r="F114" t="s">
        <v>10</v>
      </c>
      <c r="G114">
        <v>8</v>
      </c>
      <c r="H114">
        <v>12.2</v>
      </c>
      <c r="I114">
        <v>125</v>
      </c>
      <c r="J114">
        <v>75</v>
      </c>
      <c r="K114">
        <v>8</v>
      </c>
      <c r="L114">
        <v>11</v>
      </c>
      <c r="M114">
        <v>5.5</v>
      </c>
      <c r="N114">
        <v>15.5</v>
      </c>
      <c r="O114">
        <v>4.1399999999999997</v>
      </c>
      <c r="P114">
        <v>1.68</v>
      </c>
      <c r="Q114">
        <v>8.44</v>
      </c>
      <c r="R114">
        <v>5.87</v>
      </c>
      <c r="S114">
        <v>2.98</v>
      </c>
      <c r="T114">
        <v>4.1399999999999997</v>
      </c>
      <c r="U114">
        <v>1.81</v>
      </c>
      <c r="V114">
        <v>0.39100000000000001</v>
      </c>
      <c r="W114">
        <v>32.119999999999997</v>
      </c>
    </row>
    <row r="115" spans="1:23" x14ac:dyDescent="0.25">
      <c r="A115" t="str">
        <f t="shared" si="0"/>
        <v>L125X75X9</v>
      </c>
      <c r="B115" t="s">
        <v>9</v>
      </c>
      <c r="C115">
        <v>125</v>
      </c>
      <c r="D115" t="s">
        <v>10</v>
      </c>
      <c r="E115">
        <v>75</v>
      </c>
      <c r="F115" t="s">
        <v>10</v>
      </c>
      <c r="G115">
        <v>9</v>
      </c>
      <c r="H115">
        <v>13.6</v>
      </c>
      <c r="I115">
        <v>125</v>
      </c>
      <c r="J115">
        <v>75</v>
      </c>
      <c r="K115">
        <v>9</v>
      </c>
      <c r="L115">
        <v>11</v>
      </c>
      <c r="M115">
        <v>5.5</v>
      </c>
      <c r="N115">
        <v>17.3</v>
      </c>
      <c r="O115">
        <v>4.18</v>
      </c>
      <c r="P115">
        <v>1.72</v>
      </c>
      <c r="Q115">
        <v>8.41</v>
      </c>
      <c r="R115">
        <v>5.89</v>
      </c>
      <c r="S115">
        <v>3.03</v>
      </c>
      <c r="T115">
        <v>4.12</v>
      </c>
      <c r="U115">
        <v>1.84</v>
      </c>
      <c r="V115">
        <v>0.39100000000000001</v>
      </c>
      <c r="W115">
        <v>28.73</v>
      </c>
    </row>
    <row r="116" spans="1:23" x14ac:dyDescent="0.25">
      <c r="A116" t="str">
        <f t="shared" si="0"/>
        <v>L125X75X10</v>
      </c>
      <c r="B116" t="s">
        <v>9</v>
      </c>
      <c r="C116">
        <v>125</v>
      </c>
      <c r="D116" t="s">
        <v>10</v>
      </c>
      <c r="E116">
        <v>75</v>
      </c>
      <c r="F116" t="s">
        <v>10</v>
      </c>
      <c r="G116">
        <v>10</v>
      </c>
      <c r="H116">
        <v>15</v>
      </c>
      <c r="I116">
        <v>125</v>
      </c>
      <c r="J116">
        <v>75</v>
      </c>
      <c r="K116">
        <v>10</v>
      </c>
      <c r="L116">
        <v>11</v>
      </c>
      <c r="M116">
        <v>5.5</v>
      </c>
      <c r="N116">
        <v>19.100000000000001</v>
      </c>
      <c r="O116">
        <v>4.2300000000000004</v>
      </c>
      <c r="P116">
        <v>1.76</v>
      </c>
      <c r="Q116">
        <v>8.3800000000000008</v>
      </c>
      <c r="R116">
        <v>5.91</v>
      </c>
      <c r="S116">
        <v>3.08</v>
      </c>
      <c r="T116">
        <v>4.1100000000000003</v>
      </c>
      <c r="U116">
        <v>1.87</v>
      </c>
      <c r="V116">
        <v>0.39100000000000001</v>
      </c>
      <c r="W116">
        <v>26.01</v>
      </c>
    </row>
    <row r="117" spans="1:23" x14ac:dyDescent="0.25">
      <c r="A117" t="str">
        <f t="shared" si="0"/>
        <v>L125X75X12</v>
      </c>
      <c r="B117" t="s">
        <v>9</v>
      </c>
      <c r="C117">
        <v>125</v>
      </c>
      <c r="D117" t="s">
        <v>10</v>
      </c>
      <c r="E117">
        <v>75</v>
      </c>
      <c r="F117" t="s">
        <v>10</v>
      </c>
      <c r="G117">
        <v>12</v>
      </c>
      <c r="H117">
        <v>17.8</v>
      </c>
      <c r="I117">
        <v>125</v>
      </c>
      <c r="J117">
        <v>75</v>
      </c>
      <c r="K117">
        <v>12</v>
      </c>
      <c r="L117">
        <v>11</v>
      </c>
      <c r="M117">
        <v>5.5</v>
      </c>
      <c r="N117">
        <v>22.7</v>
      </c>
      <c r="O117">
        <v>4.3099999999999996</v>
      </c>
      <c r="P117">
        <v>1.84</v>
      </c>
      <c r="Q117">
        <v>8.33</v>
      </c>
      <c r="R117">
        <v>5.96</v>
      </c>
      <c r="S117">
        <v>3.17</v>
      </c>
      <c r="T117">
        <v>4.09</v>
      </c>
      <c r="U117">
        <v>1.93</v>
      </c>
      <c r="V117">
        <v>0.39100000000000001</v>
      </c>
      <c r="W117">
        <v>21.93</v>
      </c>
    </row>
    <row r="118" spans="1:23" x14ac:dyDescent="0.25">
      <c r="A118" t="str">
        <f t="shared" si="0"/>
        <v>L130X90X10</v>
      </c>
      <c r="B118" t="s">
        <v>9</v>
      </c>
      <c r="C118">
        <v>130</v>
      </c>
      <c r="D118" t="s">
        <v>10</v>
      </c>
      <c r="E118">
        <v>90</v>
      </c>
      <c r="F118" t="s">
        <v>10</v>
      </c>
      <c r="G118">
        <v>10</v>
      </c>
      <c r="H118">
        <v>16.600000000000001</v>
      </c>
      <c r="I118">
        <v>130</v>
      </c>
      <c r="J118">
        <v>90</v>
      </c>
      <c r="K118">
        <v>10</v>
      </c>
      <c r="L118">
        <v>11</v>
      </c>
      <c r="M118">
        <v>5</v>
      </c>
      <c r="N118">
        <v>21.2</v>
      </c>
      <c r="O118">
        <v>4.16</v>
      </c>
      <c r="P118">
        <v>2.19</v>
      </c>
      <c r="Q118">
        <v>8.93</v>
      </c>
      <c r="R118">
        <v>6.67</v>
      </c>
      <c r="S118">
        <v>3.75</v>
      </c>
      <c r="T118">
        <v>4.62</v>
      </c>
      <c r="U118">
        <v>2.4900000000000002</v>
      </c>
      <c r="V118">
        <v>0.43099999999999999</v>
      </c>
      <c r="W118">
        <v>25.96</v>
      </c>
    </row>
    <row r="119" spans="1:23" x14ac:dyDescent="0.25">
      <c r="A119" t="str">
        <f t="shared" si="0"/>
        <v>L130X90X12</v>
      </c>
      <c r="B119" t="s">
        <v>9</v>
      </c>
      <c r="C119">
        <v>130</v>
      </c>
      <c r="D119" t="s">
        <v>10</v>
      </c>
      <c r="E119">
        <v>90</v>
      </c>
      <c r="F119" t="s">
        <v>10</v>
      </c>
      <c r="G119">
        <v>12</v>
      </c>
      <c r="H119">
        <v>19.7</v>
      </c>
      <c r="I119">
        <v>130</v>
      </c>
      <c r="J119">
        <v>90</v>
      </c>
      <c r="K119">
        <v>12</v>
      </c>
      <c r="L119">
        <v>12</v>
      </c>
      <c r="M119">
        <v>6</v>
      </c>
      <c r="N119">
        <v>25.1</v>
      </c>
      <c r="O119">
        <v>4.24</v>
      </c>
      <c r="P119">
        <v>2.2599999999999998</v>
      </c>
      <c r="Q119">
        <v>8.9</v>
      </c>
      <c r="R119">
        <v>6.69</v>
      </c>
      <c r="S119">
        <v>3.84</v>
      </c>
      <c r="T119">
        <v>4.59</v>
      </c>
      <c r="U119">
        <v>2.5099999999999998</v>
      </c>
      <c r="V119">
        <v>0.43</v>
      </c>
      <c r="W119">
        <v>21.8</v>
      </c>
    </row>
    <row r="120" spans="1:23" x14ac:dyDescent="0.25">
      <c r="A120" t="str">
        <f t="shared" si="0"/>
        <v>L130X90X14</v>
      </c>
      <c r="B120" t="s">
        <v>9</v>
      </c>
      <c r="C120">
        <v>130</v>
      </c>
      <c r="D120" t="s">
        <v>10</v>
      </c>
      <c r="E120">
        <v>90</v>
      </c>
      <c r="F120" t="s">
        <v>10</v>
      </c>
      <c r="G120">
        <v>14</v>
      </c>
      <c r="H120">
        <v>22.8</v>
      </c>
      <c r="I120">
        <v>130</v>
      </c>
      <c r="J120">
        <v>90</v>
      </c>
      <c r="K120">
        <v>14</v>
      </c>
      <c r="L120">
        <v>11</v>
      </c>
      <c r="M120">
        <v>5</v>
      </c>
      <c r="N120">
        <v>29</v>
      </c>
      <c r="O120">
        <v>4.33</v>
      </c>
      <c r="P120">
        <v>2.34</v>
      </c>
      <c r="Q120">
        <v>8.85</v>
      </c>
      <c r="R120">
        <v>6.73</v>
      </c>
      <c r="S120">
        <v>3.95</v>
      </c>
      <c r="T120">
        <v>4.6100000000000003</v>
      </c>
      <c r="U120">
        <v>2.6</v>
      </c>
      <c r="V120">
        <v>0.43099999999999999</v>
      </c>
      <c r="W120">
        <v>18.940000000000001</v>
      </c>
    </row>
    <row r="121" spans="1:23" x14ac:dyDescent="0.25">
      <c r="A121" t="str">
        <f t="shared" si="0"/>
        <v>L140X90X8</v>
      </c>
      <c r="B121" t="s">
        <v>9</v>
      </c>
      <c r="C121">
        <v>140</v>
      </c>
      <c r="D121" t="s">
        <v>10</v>
      </c>
      <c r="E121">
        <v>90</v>
      </c>
      <c r="F121" t="s">
        <v>10</v>
      </c>
      <c r="G121">
        <v>8</v>
      </c>
      <c r="H121">
        <v>14</v>
      </c>
      <c r="I121">
        <v>140</v>
      </c>
      <c r="J121">
        <v>90</v>
      </c>
      <c r="K121">
        <v>8</v>
      </c>
      <c r="L121">
        <v>11</v>
      </c>
      <c r="M121">
        <v>5.5</v>
      </c>
      <c r="N121">
        <v>17.899999999999999</v>
      </c>
      <c r="O121">
        <v>4.49</v>
      </c>
      <c r="P121">
        <v>2.0299999999999998</v>
      </c>
      <c r="Q121">
        <v>9.56</v>
      </c>
      <c r="R121">
        <v>6.81</v>
      </c>
      <c r="S121">
        <v>3.58</v>
      </c>
      <c r="T121">
        <v>4.83</v>
      </c>
      <c r="U121">
        <v>2.27</v>
      </c>
      <c r="V121">
        <v>0.45100000000000001</v>
      </c>
      <c r="W121">
        <v>32.08</v>
      </c>
    </row>
    <row r="122" spans="1:23" x14ac:dyDescent="0.25">
      <c r="A122" t="str">
        <f t="shared" si="0"/>
        <v>L140X90X10</v>
      </c>
      <c r="B122" t="s">
        <v>9</v>
      </c>
      <c r="C122">
        <v>140</v>
      </c>
      <c r="D122" t="s">
        <v>10</v>
      </c>
      <c r="E122">
        <v>90</v>
      </c>
      <c r="F122" t="s">
        <v>10</v>
      </c>
      <c r="G122">
        <v>10</v>
      </c>
      <c r="H122">
        <v>17.399999999999999</v>
      </c>
      <c r="I122">
        <v>140</v>
      </c>
      <c r="J122">
        <v>90</v>
      </c>
      <c r="K122">
        <v>10</v>
      </c>
      <c r="L122">
        <v>11</v>
      </c>
      <c r="M122">
        <v>5.5</v>
      </c>
      <c r="N122">
        <v>22.1</v>
      </c>
      <c r="O122">
        <v>4.58</v>
      </c>
      <c r="P122">
        <v>2.11</v>
      </c>
      <c r="Q122">
        <v>9.52</v>
      </c>
      <c r="R122">
        <v>6.85</v>
      </c>
      <c r="S122">
        <v>3.69</v>
      </c>
      <c r="T122">
        <v>4.8099999999999996</v>
      </c>
      <c r="U122">
        <v>2.33</v>
      </c>
      <c r="V122">
        <v>0.45100000000000001</v>
      </c>
      <c r="W122">
        <v>25.94</v>
      </c>
    </row>
    <row r="123" spans="1:23" x14ac:dyDescent="0.25">
      <c r="A123" t="str">
        <f t="shared" si="0"/>
        <v>L140X90X12</v>
      </c>
      <c r="B123" t="s">
        <v>9</v>
      </c>
      <c r="C123">
        <v>140</v>
      </c>
      <c r="D123" t="s">
        <v>10</v>
      </c>
      <c r="E123">
        <v>90</v>
      </c>
      <c r="F123" t="s">
        <v>10</v>
      </c>
      <c r="G123">
        <v>12</v>
      </c>
      <c r="H123">
        <v>20.6</v>
      </c>
      <c r="I123">
        <v>140</v>
      </c>
      <c r="J123">
        <v>90</v>
      </c>
      <c r="K123">
        <v>12</v>
      </c>
      <c r="L123">
        <v>11</v>
      </c>
      <c r="M123">
        <v>5.5</v>
      </c>
      <c r="N123">
        <v>26.3</v>
      </c>
      <c r="O123">
        <v>4.66</v>
      </c>
      <c r="P123">
        <v>2.19</v>
      </c>
      <c r="Q123">
        <v>9.4700000000000006</v>
      </c>
      <c r="R123">
        <v>6.89</v>
      </c>
      <c r="S123">
        <v>3.79</v>
      </c>
      <c r="T123">
        <v>4.79</v>
      </c>
      <c r="U123">
        <v>2.39</v>
      </c>
      <c r="V123">
        <v>0.45100000000000001</v>
      </c>
      <c r="W123">
        <v>21.83</v>
      </c>
    </row>
    <row r="124" spans="1:23" x14ac:dyDescent="0.25">
      <c r="A124" t="str">
        <f t="shared" si="0"/>
        <v>L140X90X14</v>
      </c>
      <c r="B124" t="s">
        <v>9</v>
      </c>
      <c r="C124">
        <v>140</v>
      </c>
      <c r="D124" t="s">
        <v>10</v>
      </c>
      <c r="E124">
        <v>90</v>
      </c>
      <c r="F124" t="s">
        <v>10</v>
      </c>
      <c r="G124">
        <v>14</v>
      </c>
      <c r="H124">
        <v>23.8</v>
      </c>
      <c r="I124">
        <v>140</v>
      </c>
      <c r="J124">
        <v>90</v>
      </c>
      <c r="K124">
        <v>14</v>
      </c>
      <c r="L124">
        <v>11</v>
      </c>
      <c r="M124">
        <v>5.5</v>
      </c>
      <c r="N124">
        <v>30.4</v>
      </c>
      <c r="O124">
        <v>4.74</v>
      </c>
      <c r="P124">
        <v>2.27</v>
      </c>
      <c r="Q124">
        <v>9.43</v>
      </c>
      <c r="R124">
        <v>6.92</v>
      </c>
      <c r="S124">
        <v>3.88</v>
      </c>
      <c r="T124">
        <v>4.78</v>
      </c>
      <c r="U124">
        <v>2.4500000000000002</v>
      </c>
      <c r="V124">
        <v>0.45100000000000001</v>
      </c>
      <c r="W124">
        <v>18.899999999999999</v>
      </c>
    </row>
    <row r="125" spans="1:23" x14ac:dyDescent="0.25">
      <c r="A125" t="str">
        <f t="shared" si="0"/>
        <v>L150X75X9</v>
      </c>
      <c r="B125" t="s">
        <v>9</v>
      </c>
      <c r="C125">
        <v>150</v>
      </c>
      <c r="D125" t="s">
        <v>10</v>
      </c>
      <c r="E125">
        <v>75</v>
      </c>
      <c r="F125" t="s">
        <v>10</v>
      </c>
      <c r="G125">
        <v>9</v>
      </c>
      <c r="H125">
        <v>15.4</v>
      </c>
      <c r="I125">
        <v>150</v>
      </c>
      <c r="J125">
        <v>75</v>
      </c>
      <c r="K125">
        <v>9</v>
      </c>
      <c r="L125">
        <v>12</v>
      </c>
      <c r="M125">
        <v>6</v>
      </c>
      <c r="N125">
        <v>19.600000000000001</v>
      </c>
      <c r="O125">
        <v>5.26</v>
      </c>
      <c r="P125">
        <v>1.57</v>
      </c>
      <c r="Q125">
        <v>9.82</v>
      </c>
      <c r="R125">
        <v>6.59</v>
      </c>
      <c r="S125">
        <v>2.85</v>
      </c>
      <c r="T125">
        <v>4.41</v>
      </c>
      <c r="U125">
        <v>1.61</v>
      </c>
      <c r="V125">
        <v>0.44</v>
      </c>
      <c r="W125">
        <v>28.59</v>
      </c>
    </row>
    <row r="126" spans="1:23" x14ac:dyDescent="0.25">
      <c r="A126" t="str">
        <f t="shared" si="0"/>
        <v>L150X75X10</v>
      </c>
      <c r="B126" t="s">
        <v>9</v>
      </c>
      <c r="C126">
        <v>150</v>
      </c>
      <c r="D126" t="s">
        <v>10</v>
      </c>
      <c r="E126">
        <v>75</v>
      </c>
      <c r="F126" t="s">
        <v>10</v>
      </c>
      <c r="G126">
        <v>10</v>
      </c>
      <c r="H126">
        <v>17</v>
      </c>
      <c r="I126">
        <v>150</v>
      </c>
      <c r="J126">
        <v>75</v>
      </c>
      <c r="K126">
        <v>10</v>
      </c>
      <c r="L126">
        <v>12</v>
      </c>
      <c r="M126">
        <v>6</v>
      </c>
      <c r="N126">
        <v>21.7</v>
      </c>
      <c r="O126">
        <v>5.31</v>
      </c>
      <c r="P126">
        <v>1.61</v>
      </c>
      <c r="Q126">
        <v>9.7799999999999994</v>
      </c>
      <c r="R126">
        <v>6.62</v>
      </c>
      <c r="S126">
        <v>2.9</v>
      </c>
      <c r="T126">
        <v>4.3899999999999997</v>
      </c>
      <c r="U126">
        <v>1.65</v>
      </c>
      <c r="V126">
        <v>0.44</v>
      </c>
      <c r="W126">
        <v>25.87</v>
      </c>
    </row>
    <row r="127" spans="1:23" x14ac:dyDescent="0.25">
      <c r="A127" t="str">
        <f t="shared" si="0"/>
        <v>L150X75X11</v>
      </c>
      <c r="B127" t="s">
        <v>9</v>
      </c>
      <c r="C127">
        <v>150</v>
      </c>
      <c r="D127" t="s">
        <v>10</v>
      </c>
      <c r="E127">
        <v>75</v>
      </c>
      <c r="F127" t="s">
        <v>10</v>
      </c>
      <c r="G127">
        <v>11</v>
      </c>
      <c r="H127">
        <v>18.600000000000001</v>
      </c>
      <c r="I127">
        <v>150</v>
      </c>
      <c r="J127">
        <v>75</v>
      </c>
      <c r="K127">
        <v>11</v>
      </c>
      <c r="L127">
        <v>12</v>
      </c>
      <c r="M127">
        <v>6</v>
      </c>
      <c r="N127">
        <v>23.7</v>
      </c>
      <c r="O127">
        <v>5.35</v>
      </c>
      <c r="P127">
        <v>1.65</v>
      </c>
      <c r="Q127">
        <v>9.75</v>
      </c>
      <c r="R127">
        <v>6.65</v>
      </c>
      <c r="S127">
        <v>2.95</v>
      </c>
      <c r="T127">
        <v>4.37</v>
      </c>
      <c r="U127">
        <v>1.68</v>
      </c>
      <c r="V127">
        <v>0.44</v>
      </c>
      <c r="W127">
        <v>23.64</v>
      </c>
    </row>
    <row r="128" spans="1:23" x14ac:dyDescent="0.25">
      <c r="A128" t="str">
        <f t="shared" si="0"/>
        <v>L150X75X12</v>
      </c>
      <c r="B128" t="s">
        <v>9</v>
      </c>
      <c r="C128">
        <v>150</v>
      </c>
      <c r="D128" t="s">
        <v>10</v>
      </c>
      <c r="E128">
        <v>75</v>
      </c>
      <c r="F128" t="s">
        <v>10</v>
      </c>
      <c r="G128">
        <v>12</v>
      </c>
      <c r="H128">
        <v>20.2</v>
      </c>
      <c r="I128">
        <v>150</v>
      </c>
      <c r="J128">
        <v>75</v>
      </c>
      <c r="K128">
        <v>12</v>
      </c>
      <c r="L128">
        <v>12</v>
      </c>
      <c r="M128">
        <v>6</v>
      </c>
      <c r="N128">
        <v>25.7</v>
      </c>
      <c r="O128">
        <v>5.4</v>
      </c>
      <c r="P128">
        <v>1.69</v>
      </c>
      <c r="Q128">
        <v>9.7200000000000006</v>
      </c>
      <c r="R128">
        <v>6.68</v>
      </c>
      <c r="S128">
        <v>2.99</v>
      </c>
      <c r="T128">
        <v>4.3600000000000003</v>
      </c>
      <c r="U128">
        <v>1.72</v>
      </c>
      <c r="V128">
        <v>0.44</v>
      </c>
      <c r="W128">
        <v>21.78</v>
      </c>
    </row>
    <row r="129" spans="1:23" x14ac:dyDescent="0.25">
      <c r="A129" t="str">
        <f t="shared" si="0"/>
        <v>L150X90X10</v>
      </c>
      <c r="B129" t="s">
        <v>9</v>
      </c>
      <c r="C129">
        <v>150</v>
      </c>
      <c r="D129" t="s">
        <v>10</v>
      </c>
      <c r="E129">
        <v>90</v>
      </c>
      <c r="F129" t="s">
        <v>10</v>
      </c>
      <c r="G129">
        <v>10</v>
      </c>
      <c r="H129">
        <v>18.2</v>
      </c>
      <c r="I129">
        <v>150</v>
      </c>
      <c r="J129">
        <v>90</v>
      </c>
      <c r="K129">
        <v>10</v>
      </c>
      <c r="L129">
        <v>12</v>
      </c>
      <c r="M129">
        <v>6</v>
      </c>
      <c r="N129">
        <v>23.2</v>
      </c>
      <c r="O129">
        <v>5</v>
      </c>
      <c r="P129">
        <v>2.04</v>
      </c>
      <c r="Q129">
        <v>10.1</v>
      </c>
      <c r="R129">
        <v>7.07</v>
      </c>
      <c r="S129">
        <v>3.61</v>
      </c>
      <c r="T129">
        <v>4.97</v>
      </c>
      <c r="U129">
        <v>2.2000000000000002</v>
      </c>
      <c r="V129">
        <v>0.47</v>
      </c>
      <c r="W129">
        <v>25.84</v>
      </c>
    </row>
    <row r="130" spans="1:23" x14ac:dyDescent="0.25">
      <c r="A130" t="str">
        <f t="shared" si="0"/>
        <v>L150X90X11</v>
      </c>
      <c r="B130" t="s">
        <v>9</v>
      </c>
      <c r="C130">
        <v>150</v>
      </c>
      <c r="D130" t="s">
        <v>10</v>
      </c>
      <c r="E130">
        <v>90</v>
      </c>
      <c r="F130" t="s">
        <v>10</v>
      </c>
      <c r="G130">
        <v>11</v>
      </c>
      <c r="H130">
        <v>19.899999999999999</v>
      </c>
      <c r="I130">
        <v>150</v>
      </c>
      <c r="J130">
        <v>90</v>
      </c>
      <c r="K130">
        <v>11</v>
      </c>
      <c r="L130">
        <v>12</v>
      </c>
      <c r="M130">
        <v>6</v>
      </c>
      <c r="N130">
        <v>25.3</v>
      </c>
      <c r="O130">
        <v>5.04</v>
      </c>
      <c r="P130">
        <v>2.08</v>
      </c>
      <c r="Q130">
        <v>10.07</v>
      </c>
      <c r="R130">
        <v>7.09</v>
      </c>
      <c r="S130">
        <v>3.66</v>
      </c>
      <c r="T130">
        <v>4.95</v>
      </c>
      <c r="U130">
        <v>2.23</v>
      </c>
      <c r="V130">
        <v>0.47</v>
      </c>
      <c r="W130">
        <v>23.61</v>
      </c>
    </row>
    <row r="131" spans="1:23" x14ac:dyDescent="0.25">
      <c r="A131" t="str">
        <f t="shared" si="0"/>
        <v>L150X100X10</v>
      </c>
      <c r="B131" t="s">
        <v>9</v>
      </c>
      <c r="C131">
        <v>150</v>
      </c>
      <c r="D131" t="s">
        <v>10</v>
      </c>
      <c r="E131">
        <v>100</v>
      </c>
      <c r="F131" t="s">
        <v>10</v>
      </c>
      <c r="G131">
        <v>10</v>
      </c>
      <c r="H131">
        <v>19</v>
      </c>
      <c r="I131">
        <v>150</v>
      </c>
      <c r="J131">
        <v>100</v>
      </c>
      <c r="K131">
        <v>10</v>
      </c>
      <c r="L131">
        <v>12</v>
      </c>
      <c r="M131">
        <v>6</v>
      </c>
      <c r="N131">
        <v>24.2</v>
      </c>
      <c r="O131">
        <v>4.8099999999999996</v>
      </c>
      <c r="P131">
        <v>2.34</v>
      </c>
      <c r="Q131">
        <v>10.27</v>
      </c>
      <c r="R131">
        <v>7.48</v>
      </c>
      <c r="S131">
        <v>4.08</v>
      </c>
      <c r="T131">
        <v>5.25</v>
      </c>
      <c r="U131">
        <v>2.64</v>
      </c>
      <c r="V131">
        <v>0.49</v>
      </c>
      <c r="W131">
        <v>25.83</v>
      </c>
    </row>
    <row r="132" spans="1:23" x14ac:dyDescent="0.25">
      <c r="A132" t="str">
        <f t="shared" si="0"/>
        <v>L150X100X12</v>
      </c>
      <c r="B132" t="s">
        <v>9</v>
      </c>
      <c r="C132">
        <v>150</v>
      </c>
      <c r="D132" t="s">
        <v>10</v>
      </c>
      <c r="E132">
        <v>100</v>
      </c>
      <c r="F132" t="s">
        <v>10</v>
      </c>
      <c r="G132">
        <v>12</v>
      </c>
      <c r="H132">
        <v>22.5</v>
      </c>
      <c r="I132">
        <v>150</v>
      </c>
      <c r="J132">
        <v>100</v>
      </c>
      <c r="K132">
        <v>12</v>
      </c>
      <c r="L132">
        <v>12</v>
      </c>
      <c r="M132">
        <v>6</v>
      </c>
      <c r="N132">
        <v>28.7</v>
      </c>
      <c r="O132">
        <v>4.9000000000000004</v>
      </c>
      <c r="P132">
        <v>2.42</v>
      </c>
      <c r="Q132">
        <v>10.23</v>
      </c>
      <c r="R132">
        <v>7.52</v>
      </c>
      <c r="S132">
        <v>4.18</v>
      </c>
      <c r="T132">
        <v>5.23</v>
      </c>
      <c r="U132">
        <v>2.7</v>
      </c>
      <c r="V132">
        <v>0.49</v>
      </c>
      <c r="W132">
        <v>21.72</v>
      </c>
    </row>
    <row r="133" spans="1:23" x14ac:dyDescent="0.25">
      <c r="A133" t="str">
        <f t="shared" si="0"/>
        <v>L150X100X14</v>
      </c>
      <c r="B133" t="s">
        <v>9</v>
      </c>
      <c r="C133">
        <v>150</v>
      </c>
      <c r="D133" t="s">
        <v>10</v>
      </c>
      <c r="E133">
        <v>100</v>
      </c>
      <c r="F133" t="s">
        <v>10</v>
      </c>
      <c r="G133">
        <v>14</v>
      </c>
      <c r="H133">
        <v>26.1</v>
      </c>
      <c r="I133">
        <v>150</v>
      </c>
      <c r="J133">
        <v>100</v>
      </c>
      <c r="K133">
        <v>14</v>
      </c>
      <c r="L133">
        <v>12</v>
      </c>
      <c r="M133">
        <v>6</v>
      </c>
      <c r="N133">
        <v>33.200000000000003</v>
      </c>
      <c r="O133">
        <v>4.9800000000000004</v>
      </c>
      <c r="P133">
        <v>2.5</v>
      </c>
      <c r="Q133">
        <v>10.19</v>
      </c>
      <c r="R133">
        <v>7.55</v>
      </c>
      <c r="S133">
        <v>4.28</v>
      </c>
      <c r="T133">
        <v>5.22</v>
      </c>
      <c r="U133">
        <v>2.75</v>
      </c>
      <c r="V133">
        <v>0.49</v>
      </c>
      <c r="W133">
        <v>18.79</v>
      </c>
    </row>
    <row r="134" spans="1:23" x14ac:dyDescent="0.25">
      <c r="A134" t="str">
        <f t="shared" si="0"/>
        <v>L200X100X10</v>
      </c>
      <c r="B134" t="s">
        <v>9</v>
      </c>
      <c r="C134">
        <v>200</v>
      </c>
      <c r="D134" t="s">
        <v>10</v>
      </c>
      <c r="E134">
        <v>100</v>
      </c>
      <c r="F134" t="s">
        <v>10</v>
      </c>
      <c r="G134">
        <v>10</v>
      </c>
      <c r="H134">
        <v>23</v>
      </c>
      <c r="I134">
        <v>200</v>
      </c>
      <c r="J134">
        <v>100</v>
      </c>
      <c r="K134">
        <v>10</v>
      </c>
      <c r="L134">
        <v>15</v>
      </c>
      <c r="M134">
        <v>7.5</v>
      </c>
      <c r="N134">
        <v>29.2</v>
      </c>
      <c r="O134">
        <v>6.93</v>
      </c>
      <c r="P134">
        <v>2.0099999999999998</v>
      </c>
      <c r="Q134">
        <v>13.15</v>
      </c>
      <c r="R134">
        <v>8.74</v>
      </c>
      <c r="S134">
        <v>3.72</v>
      </c>
      <c r="T134">
        <v>5.94</v>
      </c>
      <c r="U134">
        <v>2.09</v>
      </c>
      <c r="V134">
        <v>0.58699999999999997</v>
      </c>
      <c r="W134">
        <v>25.58</v>
      </c>
    </row>
    <row r="135" spans="1:23" x14ac:dyDescent="0.25">
      <c r="A135" t="str">
        <f t="shared" si="0"/>
        <v>L200X100X12</v>
      </c>
      <c r="B135" t="s">
        <v>9</v>
      </c>
      <c r="C135">
        <v>200</v>
      </c>
      <c r="D135" t="s">
        <v>10</v>
      </c>
      <c r="E135">
        <v>100</v>
      </c>
      <c r="F135" t="s">
        <v>10</v>
      </c>
      <c r="G135">
        <v>12</v>
      </c>
      <c r="H135">
        <v>27.3</v>
      </c>
      <c r="I135">
        <v>200</v>
      </c>
      <c r="J135">
        <v>100</v>
      </c>
      <c r="K135">
        <v>12</v>
      </c>
      <c r="L135">
        <v>15</v>
      </c>
      <c r="M135">
        <v>7.5</v>
      </c>
      <c r="N135">
        <v>34.799999999999997</v>
      </c>
      <c r="O135">
        <v>7.03</v>
      </c>
      <c r="P135">
        <v>2.1</v>
      </c>
      <c r="Q135">
        <v>13.08</v>
      </c>
      <c r="R135">
        <v>8.81</v>
      </c>
      <c r="S135">
        <v>3.82</v>
      </c>
      <c r="T135">
        <v>5.89</v>
      </c>
      <c r="U135">
        <v>2.17</v>
      </c>
      <c r="V135">
        <v>0.58699999999999997</v>
      </c>
      <c r="W135">
        <v>21.49</v>
      </c>
    </row>
    <row r="136" spans="1:23" x14ac:dyDescent="0.25">
      <c r="A136" t="str">
        <f t="shared" si="0"/>
        <v>L200X100X14</v>
      </c>
      <c r="B136" t="s">
        <v>9</v>
      </c>
      <c r="C136">
        <v>200</v>
      </c>
      <c r="D136" t="s">
        <v>10</v>
      </c>
      <c r="E136">
        <v>100</v>
      </c>
      <c r="F136" t="s">
        <v>10</v>
      </c>
      <c r="G136">
        <v>14</v>
      </c>
      <c r="H136">
        <v>31.6</v>
      </c>
      <c r="I136">
        <v>200</v>
      </c>
      <c r="J136">
        <v>100</v>
      </c>
      <c r="K136">
        <v>14</v>
      </c>
      <c r="L136">
        <v>15</v>
      </c>
      <c r="M136">
        <v>7.5</v>
      </c>
      <c r="N136">
        <v>40.299999999999997</v>
      </c>
      <c r="O136">
        <v>7.12</v>
      </c>
      <c r="P136">
        <v>2.1800000000000002</v>
      </c>
      <c r="Q136">
        <v>13.01</v>
      </c>
      <c r="R136">
        <v>8.86</v>
      </c>
      <c r="S136">
        <v>3.91</v>
      </c>
      <c r="T136">
        <v>5.85</v>
      </c>
      <c r="U136">
        <v>2.2400000000000002</v>
      </c>
      <c r="V136">
        <v>0.58699999999999997</v>
      </c>
      <c r="W136">
        <v>18.57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BISYMETRYCZNY</vt:lpstr>
      <vt:lpstr>MONOSYMETRYCZNY</vt:lpstr>
      <vt:lpstr>RURA</vt:lpstr>
      <vt:lpstr>KATOWNIK</vt:lpstr>
      <vt:lpstr>BAZA_BISYMETRYCZNY</vt:lpstr>
      <vt:lpstr>BAZA_MONOSYMETRYCZNY</vt:lpstr>
      <vt:lpstr>BAZA_RUR</vt:lpstr>
      <vt:lpstr>BAZA_KATOWNIKOW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vboxuser</dc:creator>
  <cp:lastModifiedBy>vboxuser</cp:lastModifiedBy>
  <dcterms:created xsi:type="dcterms:W3CDTF">2013-12-31T23:05:32Z</dcterms:created>
  <dcterms:modified xsi:type="dcterms:W3CDTF">2013-12-31T23:51:33Z</dcterms:modified>
</cp:coreProperties>
</file>